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237540/Documents/VUA Lab/RF Setup/"/>
    </mc:Choice>
  </mc:AlternateContent>
  <xr:revisionPtr revIDLastSave="0" documentId="13_ncr:1_{C60E0718-237B-8C49-A713-EF1E583B7583}" xr6:coauthVersionLast="47" xr6:coauthVersionMax="47" xr10:uidLastSave="{00000000-0000-0000-0000-000000000000}"/>
  <bookViews>
    <workbookView xWindow="0" yWindow="740" windowWidth="34560" windowHeight="21600" activeTab="3" xr2:uid="{FECDEB1B-ABE8-8B42-AA99-BAAC4AA4866A}"/>
  </bookViews>
  <sheets>
    <sheet name="VFB1 day 9" sheetId="1" r:id="rId1"/>
    <sheet name="VFB1 all days" sheetId="2" r:id="rId2"/>
    <sheet name="VFB2 day 9 RF" sheetId="3" r:id="rId3"/>
    <sheet name="VFB2 all days R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3" i="4"/>
  <c r="I2" i="3"/>
  <c r="I2" i="4"/>
  <c r="I6" i="4"/>
  <c r="I6" i="3"/>
  <c r="I7" i="3"/>
  <c r="I7" i="4"/>
  <c r="I8" i="3"/>
  <c r="I8" i="4"/>
  <c r="I9" i="3"/>
  <c r="I9" i="4"/>
  <c r="I4" i="3"/>
  <c r="I4" i="4"/>
  <c r="I5" i="4"/>
  <c r="I5" i="3"/>
  <c r="J14" i="2"/>
  <c r="J5" i="2"/>
  <c r="J4" i="2"/>
  <c r="J14" i="1"/>
  <c r="J8" i="1"/>
  <c r="J3" i="1"/>
  <c r="J8" i="2"/>
  <c r="J12" i="1"/>
  <c r="J6" i="2"/>
  <c r="J10" i="1"/>
  <c r="J13" i="2"/>
  <c r="J9" i="1"/>
  <c r="J11" i="2"/>
  <c r="J7" i="1"/>
  <c r="J12" i="2"/>
  <c r="J10" i="2"/>
  <c r="J6" i="1"/>
  <c r="J5" i="1"/>
  <c r="J4" i="1"/>
  <c r="J2" i="2"/>
  <c r="J2" i="1"/>
  <c r="J17" i="2"/>
  <c r="J17" i="1"/>
  <c r="J15" i="2"/>
  <c r="J15" i="1"/>
  <c r="J16" i="1"/>
  <c r="J9" i="2"/>
  <c r="J13" i="1"/>
  <c r="J7" i="2"/>
  <c r="J11" i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2" i="2"/>
  <c r="H2" i="2" s="1"/>
  <c r="G17" i="1"/>
  <c r="H17" i="1" s="1"/>
  <c r="G16" i="1"/>
  <c r="H16" i="1" s="1"/>
  <c r="G9" i="1"/>
  <c r="H9" i="1" s="1"/>
  <c r="G8" i="1"/>
  <c r="H8" i="1" s="1"/>
  <c r="G13" i="1"/>
  <c r="H13" i="1" s="1"/>
  <c r="G12" i="1"/>
  <c r="H12" i="1" s="1"/>
  <c r="G5" i="1"/>
  <c r="H5" i="1" s="1"/>
  <c r="G4" i="1"/>
  <c r="H4" i="1" s="1"/>
  <c r="G7" i="1"/>
  <c r="H7" i="1" s="1"/>
  <c r="G6" i="1"/>
  <c r="H6" i="1" s="1"/>
  <c r="G3" i="1"/>
  <c r="H3" i="1" s="1"/>
  <c r="G2" i="1"/>
  <c r="H2" i="1" s="1"/>
  <c r="G15" i="1"/>
  <c r="H15" i="1" s="1"/>
  <c r="G14" i="1"/>
  <c r="H14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<sst xmlns="http://schemas.openxmlformats.org/spreadsheetml/2006/main" count="138" uniqueCount="34">
  <si>
    <t>Optimization method</t>
  </si>
  <si>
    <t>Days optimized</t>
  </si>
  <si>
    <t>Sensitivity analysis method</t>
  </si>
  <si>
    <t>Morris</t>
  </si>
  <si>
    <t>RF</t>
  </si>
  <si>
    <t>NM</t>
  </si>
  <si>
    <t>Day 3, 6, 9</t>
  </si>
  <si>
    <t>BFGS</t>
  </si>
  <si>
    <t>Powell</t>
  </si>
  <si>
    <t>CG</t>
  </si>
  <si>
    <t>Day 9 only</t>
  </si>
  <si>
    <t>Number of top parameters</t>
  </si>
  <si>
    <t>Final_error</t>
  </si>
  <si>
    <t>Decrease_error</t>
  </si>
  <si>
    <t>%_decrease_error</t>
  </si>
  <si>
    <t>Num_iterations</t>
  </si>
  <si>
    <t>Name</t>
  </si>
  <si>
    <t>NM_Morris_3</t>
  </si>
  <si>
    <t>NM_Morris_5</t>
  </si>
  <si>
    <t>NM_RF_3</t>
  </si>
  <si>
    <t>NM_RF_5</t>
  </si>
  <si>
    <t>BFGS_Morris_3</t>
  </si>
  <si>
    <t>BFGS_Morris_5</t>
  </si>
  <si>
    <t>BFGS_RF_3</t>
  </si>
  <si>
    <t>BFGS_RF_5</t>
  </si>
  <si>
    <t>Powell_Morris_3</t>
  </si>
  <si>
    <t>Powell_Morris_5</t>
  </si>
  <si>
    <t>Powell_RF_3</t>
  </si>
  <si>
    <t>Powell_RF_5</t>
  </si>
  <si>
    <t>CG_Morris_3</t>
  </si>
  <si>
    <t>CG_Morris_5</t>
  </si>
  <si>
    <t>CG_RF_3</t>
  </si>
  <si>
    <t>CG_RF_5</t>
  </si>
  <si>
    <t>Computational_time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</si>
</sst>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9" fontId="0" fillId="0" borderId="0" xfId="1" applyFont="1"/>
    <xf numFmtId="0" fontId="2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748E-56D5-1646-ABBD-8F6BE4F2D601}">
  <dimension ref="A1:J17"/>
  <sheetViews>
    <sheetView workbookViewId="0">
      <selection activeCell="K17" sqref="A1:K17"/>
    </sheetView>
  </sheetViews>
  <sheetFormatPr baseColWidth="10" defaultRowHeight="16" x14ac:dyDescent="0.2"/>
  <cols>
    <col min="1" max="1" width="14.1640625" bestFit="1" customWidth="1"/>
    <col min="2" max="2" width="18.83203125" bestFit="1" customWidth="1"/>
    <col min="3" max="3" width="23.6640625" bestFit="1" customWidth="1"/>
    <col min="4" max="4" width="23.5" bestFit="1" customWidth="1"/>
    <col min="5" max="5" width="23.5" customWidth="1"/>
    <col min="6" max="6" width="13.6640625" bestFit="1" customWidth="1"/>
    <col min="7" max="7" width="15.1640625" bestFit="1" customWidth="1"/>
    <col min="8" max="8" width="17.1640625" bestFit="1" customWidth="1"/>
  </cols>
  <sheetData>
    <row r="1" spans="1:10" x14ac:dyDescent="0.2">
      <c r="A1" s="3" t="s">
        <v>1</v>
      </c>
      <c r="B1" s="3" t="s">
        <v>0</v>
      </c>
      <c r="C1" s="3" t="s">
        <v>2</v>
      </c>
      <c r="D1" s="3" t="s">
        <v>11</v>
      </c>
      <c r="E1" s="3" t="s">
        <v>16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33</v>
      </c>
    </row>
    <row r="2" spans="1:10" x14ac:dyDescent="0.2">
      <c r="A2" t="s">
        <v>10</v>
      </c>
      <c r="B2" t="s">
        <v>5</v>
      </c>
      <c r="C2" t="s">
        <v>3</v>
      </c>
      <c r="D2">
        <v>3</v>
      </c>
      <c r="E2" t="s">
        <v>17</v>
      </c>
      <c r="F2">
        <v>2.4906564613779398</v>
      </c>
      <c r="G2">
        <f>3.937995-F2</f>
        <v>1.4473385386220601</v>
      </c>
      <c r="H2" s="2">
        <f t="shared" ref="H2:H5" si="0">G2/F2</f>
        <v>0.58110725467988844</v>
      </c>
      <c r="I2">
        <v>390</v>
      </c>
      <c r="J2">
        <f>4+23/60</f>
        <v>4.3833333333333337</v>
      </c>
    </row>
    <row r="3" spans="1:10" x14ac:dyDescent="0.2">
      <c r="C3" t="s">
        <v>3</v>
      </c>
      <c r="D3">
        <v>5</v>
      </c>
      <c r="E3" t="s">
        <v>18</v>
      </c>
      <c r="F3">
        <v>2.51783679770665</v>
      </c>
      <c r="G3">
        <f>4.026707-F3</f>
        <v>1.50887020229335</v>
      </c>
      <c r="H3" s="2">
        <f t="shared" si="0"/>
        <v>0.59927244040109806</v>
      </c>
      <c r="I3">
        <v>396</v>
      </c>
      <c r="J3">
        <f>4+14/60</f>
        <v>4.2333333333333334</v>
      </c>
    </row>
    <row r="4" spans="1:10" x14ac:dyDescent="0.2">
      <c r="C4" t="s">
        <v>4</v>
      </c>
      <c r="D4">
        <v>3</v>
      </c>
      <c r="E4" t="s">
        <v>19</v>
      </c>
      <c r="F4">
        <v>2.69675184979755</v>
      </c>
      <c r="G4">
        <f>3.610096-F4</f>
        <v>0.91334415020244997</v>
      </c>
      <c r="H4" s="2">
        <f t="shared" si="0"/>
        <v>0.33868305319639119</v>
      </c>
      <c r="I4">
        <v>201</v>
      </c>
      <c r="J4">
        <f>3+12/60</f>
        <v>3.2</v>
      </c>
    </row>
    <row r="5" spans="1:10" x14ac:dyDescent="0.2">
      <c r="C5" t="s">
        <v>4</v>
      </c>
      <c r="D5">
        <v>5</v>
      </c>
      <c r="E5" t="s">
        <v>20</v>
      </c>
      <c r="F5">
        <v>2.7568788130513702</v>
      </c>
      <c r="G5">
        <f>3.591485-F5</f>
        <v>0.83460618694862987</v>
      </c>
      <c r="H5" s="2">
        <f t="shared" si="0"/>
        <v>0.30273589937922246</v>
      </c>
      <c r="I5">
        <v>402</v>
      </c>
      <c r="J5">
        <f>3+12/60</f>
        <v>3.2</v>
      </c>
    </row>
    <row r="6" spans="1:10" x14ac:dyDescent="0.2">
      <c r="B6" t="s">
        <v>8</v>
      </c>
      <c r="C6" t="s">
        <v>3</v>
      </c>
      <c r="D6">
        <v>3</v>
      </c>
      <c r="E6" t="s">
        <v>25</v>
      </c>
      <c r="F6">
        <v>3.83111509200124</v>
      </c>
      <c r="G6">
        <f>4.023561-F6</f>
        <v>0.19244590799875994</v>
      </c>
      <c r="H6" s="2">
        <f t="shared" ref="H6:H17" si="1">G6/F6</f>
        <v>5.0232348383518005E-2</v>
      </c>
      <c r="I6">
        <v>276</v>
      </c>
      <c r="J6">
        <f>7+1/60</f>
        <v>7.0166666666666666</v>
      </c>
    </row>
    <row r="7" spans="1:10" x14ac:dyDescent="0.2">
      <c r="C7" t="s">
        <v>3</v>
      </c>
      <c r="D7">
        <v>5</v>
      </c>
      <c r="E7" t="s">
        <v>26</v>
      </c>
      <c r="F7">
        <v>3.15631825883057</v>
      </c>
      <c r="G7">
        <f>3.97133-F7</f>
        <v>0.81501174116942998</v>
      </c>
      <c r="H7" s="2">
        <f t="shared" si="1"/>
        <v>0.25821595743370807</v>
      </c>
      <c r="I7">
        <v>879</v>
      </c>
      <c r="J7">
        <f>6+37/60</f>
        <v>6.6166666666666671</v>
      </c>
    </row>
    <row r="8" spans="1:10" x14ac:dyDescent="0.2">
      <c r="C8" t="s">
        <v>4</v>
      </c>
      <c r="D8">
        <v>3</v>
      </c>
      <c r="E8" t="s">
        <v>27</v>
      </c>
      <c r="F8">
        <v>3.45678150496708</v>
      </c>
      <c r="G8">
        <f>3.64021-F8</f>
        <v>0.18342849503292014</v>
      </c>
      <c r="H8" s="2">
        <f t="shared" si="1"/>
        <v>5.3063375503875528E-2</v>
      </c>
      <c r="I8">
        <v>924</v>
      </c>
      <c r="J8">
        <f>7+12/60</f>
        <v>7.2</v>
      </c>
    </row>
    <row r="9" spans="1:10" x14ac:dyDescent="0.2">
      <c r="C9" t="s">
        <v>4</v>
      </c>
      <c r="D9">
        <v>5</v>
      </c>
      <c r="E9" t="s">
        <v>28</v>
      </c>
      <c r="F9">
        <v>3.4240795189004101</v>
      </c>
      <c r="G9">
        <f>3.623571-F9</f>
        <v>0.19949148109959003</v>
      </c>
      <c r="H9" s="2">
        <f t="shared" si="1"/>
        <v>5.8261345859062764E-2</v>
      </c>
      <c r="I9">
        <v>1197</v>
      </c>
      <c r="J9">
        <f>9+20/60</f>
        <v>9.3333333333333339</v>
      </c>
    </row>
    <row r="10" spans="1:10" x14ac:dyDescent="0.2">
      <c r="B10" t="s">
        <v>7</v>
      </c>
      <c r="C10" t="s">
        <v>3</v>
      </c>
      <c r="D10">
        <v>3</v>
      </c>
      <c r="E10" t="s">
        <v>21</v>
      </c>
      <c r="F10">
        <v>3.51728234108452</v>
      </c>
      <c r="G10">
        <f>3.628091-F10</f>
        <v>0.11080865891547997</v>
      </c>
      <c r="H10" s="2">
        <f t="shared" si="1"/>
        <v>3.1504055736768975E-2</v>
      </c>
      <c r="I10">
        <v>288</v>
      </c>
      <c r="J10">
        <f>2+17/60</f>
        <v>2.2833333333333332</v>
      </c>
    </row>
    <row r="11" spans="1:10" x14ac:dyDescent="0.2">
      <c r="C11" t="s">
        <v>3</v>
      </c>
      <c r="D11">
        <v>5</v>
      </c>
      <c r="E11" t="s">
        <v>22</v>
      </c>
      <c r="F11">
        <v>3.43738028599468</v>
      </c>
      <c r="G11">
        <f>3.657755-F11</f>
        <v>0.22037471400531983</v>
      </c>
      <c r="H11" s="2">
        <f t="shared" si="1"/>
        <v>6.4111240441803385E-2</v>
      </c>
      <c r="I11">
        <v>486</v>
      </c>
      <c r="J11">
        <f>3+49/60</f>
        <v>3.8166666666666664</v>
      </c>
    </row>
    <row r="12" spans="1:10" x14ac:dyDescent="0.2">
      <c r="C12" t="s">
        <v>4</v>
      </c>
      <c r="D12">
        <v>3</v>
      </c>
      <c r="E12" t="s">
        <v>23</v>
      </c>
      <c r="F12">
        <v>3.5050118376430799</v>
      </c>
      <c r="G12">
        <f>3.62506-F12</f>
        <v>0.12004816235692006</v>
      </c>
      <c r="H12" s="2">
        <f t="shared" si="1"/>
        <v>3.4250429932255404E-2</v>
      </c>
      <c r="I12">
        <v>249</v>
      </c>
      <c r="J12">
        <f>1+57/60</f>
        <v>1.95</v>
      </c>
    </row>
    <row r="13" spans="1:10" x14ac:dyDescent="0.2">
      <c r="C13" t="s">
        <v>4</v>
      </c>
      <c r="D13">
        <v>5</v>
      </c>
      <c r="E13" t="s">
        <v>24</v>
      </c>
      <c r="F13">
        <v>3.4753394887383302</v>
      </c>
      <c r="G13">
        <f>3.646088-F13</f>
        <v>0.17074851126167001</v>
      </c>
      <c r="H13" s="2">
        <f t="shared" si="1"/>
        <v>4.9131462354964836E-2</v>
      </c>
      <c r="I13">
        <v>783</v>
      </c>
      <c r="J13">
        <f>6+6/60</f>
        <v>6.1</v>
      </c>
    </row>
    <row r="14" spans="1:10" x14ac:dyDescent="0.2">
      <c r="B14" t="s">
        <v>9</v>
      </c>
      <c r="C14" t="s">
        <v>3</v>
      </c>
      <c r="D14">
        <v>3</v>
      </c>
      <c r="E14" t="s">
        <v>29</v>
      </c>
      <c r="F14">
        <v>3.5353815856412099</v>
      </c>
      <c r="G14">
        <f>3.635358-F14</f>
        <v>9.9976414358790233E-2</v>
      </c>
      <c r="H14" s="2">
        <f t="shared" si="1"/>
        <v>2.8278818548141977E-2</v>
      </c>
      <c r="I14">
        <v>255</v>
      </c>
      <c r="J14">
        <f>2+56/60</f>
        <v>2.9333333333333336</v>
      </c>
    </row>
    <row r="15" spans="1:10" x14ac:dyDescent="0.2">
      <c r="C15" t="s">
        <v>3</v>
      </c>
      <c r="D15">
        <v>5</v>
      </c>
      <c r="E15" t="s">
        <v>30</v>
      </c>
      <c r="F15">
        <v>3.4486714547113002</v>
      </c>
      <c r="G15">
        <f>3.615176-F15</f>
        <v>0.16650454528869973</v>
      </c>
      <c r="H15" s="2">
        <f t="shared" si="1"/>
        <v>4.8280779272619458E-2</v>
      </c>
      <c r="I15">
        <v>450</v>
      </c>
      <c r="J15">
        <f>3+40/60</f>
        <v>3.6666666666666665</v>
      </c>
    </row>
    <row r="16" spans="1:10" x14ac:dyDescent="0.2">
      <c r="C16" t="s">
        <v>4</v>
      </c>
      <c r="D16">
        <v>3</v>
      </c>
      <c r="E16" t="s">
        <v>31</v>
      </c>
      <c r="F16">
        <v>3.5182524558438502</v>
      </c>
      <c r="G16">
        <f>3.686377-F16</f>
        <v>0.16812454415614964</v>
      </c>
      <c r="H16" s="2">
        <f t="shared" si="1"/>
        <v>4.7786378682659114E-2</v>
      </c>
      <c r="I16">
        <v>312</v>
      </c>
      <c r="J16">
        <f>2+26/60</f>
        <v>2.4333333333333336</v>
      </c>
    </row>
    <row r="17" spans="3:10" x14ac:dyDescent="0.2">
      <c r="C17" t="s">
        <v>4</v>
      </c>
      <c r="D17">
        <v>5</v>
      </c>
      <c r="E17" t="s">
        <v>32</v>
      </c>
      <c r="F17">
        <v>3.4609581185791698</v>
      </c>
      <c r="G17">
        <f>3.664153-F17</f>
        <v>0.20319488142083042</v>
      </c>
      <c r="H17" s="2">
        <f t="shared" si="1"/>
        <v>5.8710586623408258E-2</v>
      </c>
      <c r="I17">
        <v>414</v>
      </c>
      <c r="J17">
        <f>3+12/60</f>
        <v>3.2</v>
      </c>
    </row>
  </sheetData>
  <conditionalFormatting sqref="F2:F17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:G1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7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7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EE4D-44A5-3B45-8D76-16A88C0158CE}">
  <dimension ref="A1:J17"/>
  <sheetViews>
    <sheetView workbookViewId="0">
      <selection activeCell="J2" sqref="J2"/>
    </sheetView>
  </sheetViews>
  <sheetFormatPr baseColWidth="10" defaultRowHeight="16" x14ac:dyDescent="0.2"/>
  <sheetData>
    <row r="1" spans="1:10" x14ac:dyDescent="0.2">
      <c r="A1" s="3" t="s">
        <v>1</v>
      </c>
      <c r="B1" s="3" t="s">
        <v>0</v>
      </c>
      <c r="C1" s="3" t="s">
        <v>2</v>
      </c>
      <c r="D1" s="3" t="s">
        <v>11</v>
      </c>
      <c r="E1" s="3" t="s">
        <v>16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33</v>
      </c>
    </row>
    <row r="2" spans="1:10" x14ac:dyDescent="0.2">
      <c r="A2" t="s">
        <v>6</v>
      </c>
      <c r="B2" t="s">
        <v>5</v>
      </c>
      <c r="C2" t="s">
        <v>3</v>
      </c>
      <c r="D2">
        <v>3</v>
      </c>
      <c r="E2" t="s">
        <v>17</v>
      </c>
      <c r="F2">
        <v>2.56400681958181</v>
      </c>
      <c r="G2">
        <f>3.886804-F2</f>
        <v>1.3227971804181902</v>
      </c>
      <c r="H2" s="2">
        <f t="shared" ref="H2:H17" si="0">G2/F2</f>
        <v>0.51591016463596562</v>
      </c>
      <c r="I2">
        <v>411</v>
      </c>
      <c r="J2">
        <f>5+4/60</f>
        <v>5.0666666666666664</v>
      </c>
    </row>
    <row r="3" spans="1:10" x14ac:dyDescent="0.2">
      <c r="C3" t="s">
        <v>3</v>
      </c>
      <c r="D3">
        <v>5</v>
      </c>
      <c r="E3" t="s">
        <v>18</v>
      </c>
      <c r="F3">
        <v>2.4337654804512701</v>
      </c>
      <c r="G3">
        <f>3.960581-F3</f>
        <v>1.5268155195487298</v>
      </c>
      <c r="H3" s="2">
        <f t="shared" si="0"/>
        <v>0.62734701918182645</v>
      </c>
      <c r="I3">
        <v>390</v>
      </c>
      <c r="J3">
        <v>4.5</v>
      </c>
    </row>
    <row r="4" spans="1:10" x14ac:dyDescent="0.2">
      <c r="C4" t="s">
        <v>4</v>
      </c>
      <c r="D4">
        <v>3</v>
      </c>
      <c r="E4" t="s">
        <v>19</v>
      </c>
      <c r="F4">
        <v>2.6835419869294799</v>
      </c>
      <c r="G4">
        <f>3.648849-F4</f>
        <v>0.96530701307051991</v>
      </c>
      <c r="H4" s="2">
        <f t="shared" si="0"/>
        <v>0.35971377298069718</v>
      </c>
      <c r="I4">
        <v>219</v>
      </c>
      <c r="J4">
        <f>1+44/60</f>
        <v>1.7333333333333334</v>
      </c>
    </row>
    <row r="5" spans="1:10" x14ac:dyDescent="0.2">
      <c r="C5" t="s">
        <v>4</v>
      </c>
      <c r="D5">
        <v>5</v>
      </c>
      <c r="E5" t="s">
        <v>20</v>
      </c>
      <c r="F5">
        <v>2.23418943886045</v>
      </c>
      <c r="G5">
        <f>3.58658-F5</f>
        <v>1.3523905611395501</v>
      </c>
      <c r="H5" s="2">
        <f t="shared" si="0"/>
        <v>0.60531597617314759</v>
      </c>
      <c r="I5">
        <v>408</v>
      </c>
      <c r="J5">
        <f>5+22/60</f>
        <v>5.3666666666666663</v>
      </c>
    </row>
    <row r="6" spans="1:10" x14ac:dyDescent="0.2">
      <c r="B6" t="s">
        <v>7</v>
      </c>
      <c r="C6" t="s">
        <v>3</v>
      </c>
      <c r="D6">
        <v>3</v>
      </c>
      <c r="E6" t="s">
        <v>21</v>
      </c>
      <c r="F6">
        <v>3.53882762085785</v>
      </c>
      <c r="G6">
        <f>3.638384-F6</f>
        <v>9.9556379142149876E-2</v>
      </c>
      <c r="H6" s="2">
        <f t="shared" si="0"/>
        <v>2.8132587910008552E-2</v>
      </c>
      <c r="I6">
        <v>285</v>
      </c>
      <c r="J6">
        <f>2+14/60</f>
        <v>2.2333333333333334</v>
      </c>
    </row>
    <row r="7" spans="1:10" x14ac:dyDescent="0.2">
      <c r="C7" t="s">
        <v>3</v>
      </c>
      <c r="D7">
        <v>5</v>
      </c>
      <c r="E7" t="s">
        <v>22</v>
      </c>
      <c r="F7">
        <v>2.8843083904373699</v>
      </c>
      <c r="G7">
        <f>3.630883-F7</f>
        <v>0.74657460956263</v>
      </c>
      <c r="H7" s="2">
        <f t="shared" si="0"/>
        <v>0.25884007827936217</v>
      </c>
      <c r="I7">
        <v>432</v>
      </c>
      <c r="J7">
        <f>3+23/60</f>
        <v>3.3833333333333333</v>
      </c>
    </row>
    <row r="8" spans="1:10" x14ac:dyDescent="0.2">
      <c r="C8" t="s">
        <v>4</v>
      </c>
      <c r="D8">
        <v>3</v>
      </c>
      <c r="E8" t="s">
        <v>23</v>
      </c>
      <c r="F8">
        <v>3.49678524580133</v>
      </c>
      <c r="G8">
        <f>3.612277-F8</f>
        <v>0.11549175419867019</v>
      </c>
      <c r="H8" s="2">
        <f t="shared" si="0"/>
        <v>3.3027980296286077E-2</v>
      </c>
      <c r="I8">
        <v>222</v>
      </c>
      <c r="J8">
        <f>1+45/60</f>
        <v>1.75</v>
      </c>
    </row>
    <row r="9" spans="1:10" x14ac:dyDescent="0.2">
      <c r="C9" t="s">
        <v>4</v>
      </c>
      <c r="D9">
        <v>5</v>
      </c>
      <c r="E9" t="s">
        <v>24</v>
      </c>
      <c r="F9">
        <v>3.5043872208817701</v>
      </c>
      <c r="G9">
        <f>3.63609-F9</f>
        <v>0.1317027791182297</v>
      </c>
      <c r="H9" s="2">
        <f t="shared" si="0"/>
        <v>3.75822564165985E-2</v>
      </c>
      <c r="I9">
        <v>375</v>
      </c>
      <c r="J9">
        <f>3-6/60</f>
        <v>2.9</v>
      </c>
    </row>
    <row r="10" spans="1:10" x14ac:dyDescent="0.2">
      <c r="B10" t="s">
        <v>8</v>
      </c>
      <c r="C10" t="s">
        <v>3</v>
      </c>
      <c r="D10">
        <v>3</v>
      </c>
      <c r="E10" t="s">
        <v>25</v>
      </c>
      <c r="F10">
        <v>2.8839208127976002</v>
      </c>
      <c r="G10">
        <f>3.961577-F10</f>
        <v>1.0776561872024</v>
      </c>
      <c r="H10" s="2">
        <f t="shared" si="0"/>
        <v>0.37367745411740338</v>
      </c>
      <c r="I10">
        <v>855</v>
      </c>
      <c r="J10">
        <f>6+33/60</f>
        <v>6.55</v>
      </c>
    </row>
    <row r="11" spans="1:10" x14ac:dyDescent="0.2">
      <c r="C11" t="s">
        <v>3</v>
      </c>
      <c r="D11">
        <v>5</v>
      </c>
      <c r="E11" t="s">
        <v>26</v>
      </c>
      <c r="F11">
        <v>2.5400734207328299</v>
      </c>
      <c r="G11">
        <f>3.906054-F11</f>
        <v>1.3659805792671702</v>
      </c>
      <c r="H11" s="2">
        <f t="shared" si="0"/>
        <v>0.53777208490023676</v>
      </c>
      <c r="I11">
        <v>849</v>
      </c>
      <c r="J11">
        <f>6+22/60</f>
        <v>6.3666666666666663</v>
      </c>
    </row>
    <row r="12" spans="1:10" x14ac:dyDescent="0.2">
      <c r="C12" t="s">
        <v>4</v>
      </c>
      <c r="D12">
        <v>3</v>
      </c>
      <c r="E12" t="s">
        <v>27</v>
      </c>
      <c r="F12">
        <v>2.8866512753125102</v>
      </c>
      <c r="G12">
        <f>3.65985-F12</f>
        <v>0.77319872468748985</v>
      </c>
      <c r="H12" s="2">
        <f t="shared" si="0"/>
        <v>0.26785318036165728</v>
      </c>
      <c r="I12">
        <v>705</v>
      </c>
      <c r="J12">
        <f>5+24/60</f>
        <v>5.4</v>
      </c>
    </row>
    <row r="13" spans="1:10" x14ac:dyDescent="0.2">
      <c r="C13" t="s">
        <v>4</v>
      </c>
      <c r="D13">
        <v>5</v>
      </c>
      <c r="E13" t="s">
        <v>28</v>
      </c>
      <c r="F13">
        <v>3.1873894867654999</v>
      </c>
      <c r="G13">
        <f>3.611056-F13</f>
        <v>0.42366651323450011</v>
      </c>
      <c r="H13" s="2">
        <f t="shared" si="0"/>
        <v>0.13291959297526218</v>
      </c>
      <c r="I13">
        <v>1212</v>
      </c>
      <c r="J13">
        <f>9+28/60</f>
        <v>9.4666666666666668</v>
      </c>
    </row>
    <row r="14" spans="1:10" x14ac:dyDescent="0.2">
      <c r="B14" t="s">
        <v>9</v>
      </c>
      <c r="C14" t="s">
        <v>3</v>
      </c>
      <c r="D14">
        <v>3</v>
      </c>
      <c r="E14" t="s">
        <v>29</v>
      </c>
      <c r="F14">
        <v>3.5376001350831201</v>
      </c>
      <c r="G14">
        <f>3.621053-F14</f>
        <v>8.3452864916879754E-2</v>
      </c>
      <c r="H14" s="2">
        <f t="shared" si="0"/>
        <v>2.3590248114607484E-2</v>
      </c>
      <c r="I14">
        <v>282</v>
      </c>
      <c r="J14">
        <f>3+10/60</f>
        <v>3.1666666666666665</v>
      </c>
    </row>
    <row r="15" spans="1:10" x14ac:dyDescent="0.2">
      <c r="C15" t="s">
        <v>3</v>
      </c>
      <c r="D15">
        <v>5</v>
      </c>
      <c r="E15" t="s">
        <v>30</v>
      </c>
      <c r="F15">
        <v>3.5357586803915102</v>
      </c>
      <c r="G15">
        <f>3.632601-F15</f>
        <v>9.6842319608489991E-2</v>
      </c>
      <c r="H15" s="2">
        <f t="shared" si="0"/>
        <v>2.7389403056705997E-2</v>
      </c>
      <c r="I15">
        <v>432</v>
      </c>
      <c r="J15">
        <f>3+20/60</f>
        <v>3.3333333333333335</v>
      </c>
    </row>
    <row r="16" spans="1:10" x14ac:dyDescent="0.2">
      <c r="C16" t="s">
        <v>4</v>
      </c>
      <c r="D16">
        <v>3</v>
      </c>
      <c r="E16" t="s">
        <v>31</v>
      </c>
      <c r="F16" s="1">
        <v>3.53684106</v>
      </c>
      <c r="G16">
        <f>3.622011-F16</f>
        <v>8.5169940000000111E-2</v>
      </c>
      <c r="H16" s="2">
        <f t="shared" si="0"/>
        <v>2.4080793723877461E-2</v>
      </c>
      <c r="I16">
        <v>252</v>
      </c>
      <c r="J16">
        <v>2</v>
      </c>
    </row>
    <row r="17" spans="3:10" x14ac:dyDescent="0.2">
      <c r="C17" t="s">
        <v>4</v>
      </c>
      <c r="D17">
        <v>5</v>
      </c>
      <c r="E17" t="s">
        <v>32</v>
      </c>
      <c r="F17">
        <v>3.51762014945849</v>
      </c>
      <c r="G17">
        <f>3.62027-F17</f>
        <v>0.1026498505415101</v>
      </c>
      <c r="H17" s="2">
        <f t="shared" si="0"/>
        <v>2.9181618873007718E-2</v>
      </c>
      <c r="I17">
        <v>378</v>
      </c>
      <c r="J17">
        <f>3+1/60</f>
        <v>3.0166666666666666</v>
      </c>
    </row>
  </sheetData>
  <conditionalFormatting sqref="F2:F17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:G1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E5CD-0ABC-2E47-B3F0-455FAAFCE1B6}">
  <dimension ref="A1:I17"/>
  <sheetViews>
    <sheetView workbookViewId="0">
      <selection activeCell="I4" sqref="I4"/>
    </sheetView>
  </sheetViews>
  <sheetFormatPr baseColWidth="10" defaultRowHeight="16" x14ac:dyDescent="0.2"/>
  <sheetData>
    <row r="1" spans="1:9" x14ac:dyDescent="0.2">
      <c r="A1" s="3" t="s">
        <v>1</v>
      </c>
      <c r="B1" s="3" t="s">
        <v>0</v>
      </c>
      <c r="C1" s="3" t="s">
        <v>11</v>
      </c>
      <c r="D1" s="3" t="s">
        <v>16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33</v>
      </c>
    </row>
    <row r="2" spans="1:9" x14ac:dyDescent="0.2">
      <c r="A2" t="s">
        <v>10</v>
      </c>
      <c r="B2" t="s">
        <v>5</v>
      </c>
      <c r="C2">
        <v>3</v>
      </c>
      <c r="D2" t="s">
        <v>19</v>
      </c>
      <c r="E2">
        <v>3.6315583606245299</v>
      </c>
      <c r="F2">
        <v>0.36852263937546992</v>
      </c>
      <c r="G2" s="2">
        <v>9.2128794235784212E-2</v>
      </c>
      <c r="H2">
        <v>390</v>
      </c>
      <c r="I2">
        <f>2+47/60</f>
        <v>2.7833333333333332</v>
      </c>
    </row>
    <row r="3" spans="1:9" x14ac:dyDescent="0.2">
      <c r="C3">
        <v>5</v>
      </c>
      <c r="D3" t="s">
        <v>20</v>
      </c>
      <c r="E3">
        <v>3.5682344131752899</v>
      </c>
      <c r="F3">
        <v>0.43509258682470975</v>
      </c>
      <c r="G3" s="2">
        <v>0.10868274982900716</v>
      </c>
      <c r="H3">
        <v>390</v>
      </c>
      <c r="I3">
        <f>2+32/60</f>
        <v>2.5333333333333332</v>
      </c>
    </row>
    <row r="4" spans="1:9" x14ac:dyDescent="0.2">
      <c r="B4" t="s">
        <v>8</v>
      </c>
      <c r="C4">
        <v>3</v>
      </c>
      <c r="D4" t="s">
        <v>27</v>
      </c>
      <c r="E4">
        <v>3.7498385465410902</v>
      </c>
      <c r="F4">
        <v>0.28843745345890959</v>
      </c>
      <c r="G4" s="2">
        <v>7.1425889032574699E-2</v>
      </c>
      <c r="H4">
        <v>651</v>
      </c>
      <c r="I4">
        <f>4+34/60</f>
        <v>4.5666666666666664</v>
      </c>
    </row>
    <row r="5" spans="1:9" x14ac:dyDescent="0.2">
      <c r="C5">
        <v>5</v>
      </c>
      <c r="D5" t="s">
        <v>28</v>
      </c>
      <c r="E5">
        <v>3.60447405688197</v>
      </c>
      <c r="F5">
        <v>0.42402694311803035</v>
      </c>
      <c r="G5" s="2">
        <v>0.10525675508533579</v>
      </c>
      <c r="H5">
        <v>1110</v>
      </c>
      <c r="I5">
        <f>7 + 23/60</f>
        <v>7.3833333333333337</v>
      </c>
    </row>
    <row r="6" spans="1:9" x14ac:dyDescent="0.2">
      <c r="B6" t="s">
        <v>7</v>
      </c>
      <c r="C6">
        <v>3</v>
      </c>
      <c r="D6" t="s">
        <v>23</v>
      </c>
      <c r="E6">
        <v>3.7803578955502299</v>
      </c>
      <c r="F6">
        <v>0.18370810444976993</v>
      </c>
      <c r="G6" s="2">
        <v>4.6343351611645704E-2</v>
      </c>
      <c r="H6">
        <v>324</v>
      </c>
      <c r="I6">
        <f>2+19/60</f>
        <v>2.3166666666666664</v>
      </c>
    </row>
    <row r="7" spans="1:9" x14ac:dyDescent="0.2">
      <c r="C7">
        <v>5</v>
      </c>
      <c r="D7" t="s">
        <v>24</v>
      </c>
      <c r="E7">
        <v>3.6978139138688499</v>
      </c>
      <c r="F7">
        <v>0.27204008613115027</v>
      </c>
      <c r="G7" s="2">
        <v>6.8526471283616538E-2</v>
      </c>
      <c r="H7">
        <v>432</v>
      </c>
      <c r="I7">
        <f>2+59/60</f>
        <v>2.9833333333333334</v>
      </c>
    </row>
    <row r="8" spans="1:9" x14ac:dyDescent="0.2">
      <c r="B8" t="s">
        <v>9</v>
      </c>
      <c r="C8">
        <v>3</v>
      </c>
      <c r="D8" t="s">
        <v>31</v>
      </c>
      <c r="E8">
        <v>3.7553057034224899</v>
      </c>
      <c r="F8">
        <v>0.21566829657751008</v>
      </c>
      <c r="G8" s="2">
        <v>5.4311183245599207E-2</v>
      </c>
      <c r="H8">
        <v>246</v>
      </c>
      <c r="I8">
        <f>1+43/60</f>
        <v>1.7166666666666668</v>
      </c>
    </row>
    <row r="9" spans="1:9" x14ac:dyDescent="0.2">
      <c r="C9">
        <v>5</v>
      </c>
      <c r="D9" t="s">
        <v>32</v>
      </c>
      <c r="E9" s="4">
        <v>3.7614356</v>
      </c>
      <c r="F9">
        <v>0.30134139590085951</v>
      </c>
      <c r="G9" s="2">
        <v>7.4171286265738809E-2</v>
      </c>
      <c r="H9">
        <v>450</v>
      </c>
      <c r="I9">
        <f>3+12/60</f>
        <v>3.2</v>
      </c>
    </row>
    <row r="10" spans="1:9" x14ac:dyDescent="0.2">
      <c r="G10" s="2"/>
    </row>
    <row r="11" spans="1:9" x14ac:dyDescent="0.2">
      <c r="G11" s="2"/>
    </row>
    <row r="12" spans="1:9" x14ac:dyDescent="0.2">
      <c r="G12" s="2"/>
    </row>
    <row r="13" spans="1:9" x14ac:dyDescent="0.2">
      <c r="G13" s="2"/>
    </row>
    <row r="14" spans="1:9" x14ac:dyDescent="0.2">
      <c r="G14" s="2"/>
    </row>
    <row r="15" spans="1:9" x14ac:dyDescent="0.2">
      <c r="G15" s="2"/>
    </row>
    <row r="16" spans="1:9" x14ac:dyDescent="0.2">
      <c r="G16" s="2"/>
    </row>
    <row r="17" spans="7:7" x14ac:dyDescent="0.2">
      <c r="G17" s="2"/>
    </row>
  </sheetData>
  <conditionalFormatting sqref="E2:E8 E10:E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1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7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BF60-9C78-F44D-985D-798C30C5C0EC}">
  <dimension ref="A1:I9"/>
  <sheetViews>
    <sheetView tabSelected="1" workbookViewId="0">
      <selection activeCell="J17" sqref="J17"/>
    </sheetView>
  </sheetViews>
  <sheetFormatPr baseColWidth="10" defaultRowHeight="16" x14ac:dyDescent="0.2"/>
  <sheetData>
    <row r="1" spans="1:9" x14ac:dyDescent="0.2">
      <c r="A1" s="3" t="s">
        <v>1</v>
      </c>
      <c r="B1" s="3" t="s">
        <v>0</v>
      </c>
      <c r="C1" s="3" t="s">
        <v>11</v>
      </c>
      <c r="D1" s="3" t="s">
        <v>16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33</v>
      </c>
    </row>
    <row r="2" spans="1:9" x14ac:dyDescent="0.2">
      <c r="A2" t="s">
        <v>6</v>
      </c>
      <c r="B2" t="s">
        <v>5</v>
      </c>
      <c r="C2">
        <v>3</v>
      </c>
      <c r="D2" t="s">
        <v>19</v>
      </c>
      <c r="E2">
        <v>3.71990682114353</v>
      </c>
      <c r="F2">
        <v>0.26554917885647011</v>
      </c>
      <c r="G2" s="2">
        <v>6.6629559793526791E-2</v>
      </c>
      <c r="H2">
        <v>366</v>
      </c>
      <c r="I2">
        <f>2+36/60</f>
        <v>2.6</v>
      </c>
    </row>
    <row r="3" spans="1:9" x14ac:dyDescent="0.2">
      <c r="C3">
        <v>5</v>
      </c>
      <c r="D3" t="s">
        <v>20</v>
      </c>
      <c r="E3">
        <v>3.69128175817636</v>
      </c>
      <c r="F3">
        <v>0.37385324182363977</v>
      </c>
      <c r="G3" s="2">
        <v>9.1965762963257008E-2</v>
      </c>
      <c r="H3">
        <v>396</v>
      </c>
      <c r="I3">
        <f>2+49/60</f>
        <v>2.8166666666666664</v>
      </c>
    </row>
    <row r="4" spans="1:9" x14ac:dyDescent="0.2">
      <c r="B4" t="s">
        <v>8</v>
      </c>
      <c r="C4">
        <v>3</v>
      </c>
      <c r="D4" t="s">
        <v>27</v>
      </c>
      <c r="E4">
        <v>3.7712653046895999</v>
      </c>
      <c r="F4">
        <v>0.29504169531040025</v>
      </c>
      <c r="G4" s="2">
        <v>7.2557653740949773E-2</v>
      </c>
      <c r="H4">
        <v>570</v>
      </c>
      <c r="I4">
        <f>4+2/60</f>
        <v>4.0333333333333332</v>
      </c>
    </row>
    <row r="5" spans="1:9" x14ac:dyDescent="0.2">
      <c r="C5">
        <v>5</v>
      </c>
      <c r="D5" t="s">
        <v>28</v>
      </c>
      <c r="E5">
        <v>3.6808371362114398</v>
      </c>
      <c r="F5">
        <v>0.34220886378856008</v>
      </c>
      <c r="G5" s="2">
        <v>8.5062130482365869E-2</v>
      </c>
      <c r="H5">
        <v>1005</v>
      </c>
      <c r="I5">
        <f>6+43/60</f>
        <v>6.7166666666666668</v>
      </c>
    </row>
    <row r="6" spans="1:9" x14ac:dyDescent="0.2">
      <c r="B6" t="s">
        <v>7</v>
      </c>
      <c r="C6">
        <v>3</v>
      </c>
      <c r="D6" t="s">
        <v>23</v>
      </c>
      <c r="E6">
        <v>3.7219757316936999</v>
      </c>
      <c r="F6">
        <v>0.26160226830630018</v>
      </c>
      <c r="G6" s="2">
        <v>6.5670175984077678E-2</v>
      </c>
      <c r="H6">
        <v>264</v>
      </c>
      <c r="I6">
        <f>1+53/60</f>
        <v>1.8833333333333333</v>
      </c>
    </row>
    <row r="7" spans="1:9" x14ac:dyDescent="0.2">
      <c r="C7">
        <v>5</v>
      </c>
      <c r="D7" t="s">
        <v>24</v>
      </c>
      <c r="E7">
        <v>3.7580417993287099</v>
      </c>
      <c r="F7">
        <v>0.22792620067129032</v>
      </c>
      <c r="G7" s="2">
        <v>5.7182145132948961E-2</v>
      </c>
      <c r="H7">
        <v>480</v>
      </c>
      <c r="I7">
        <f>3+26/60</f>
        <v>3.4333333333333336</v>
      </c>
    </row>
    <row r="8" spans="1:9" x14ac:dyDescent="0.2">
      <c r="B8" t="s">
        <v>9</v>
      </c>
      <c r="C8">
        <v>3</v>
      </c>
      <c r="D8" t="s">
        <v>31</v>
      </c>
      <c r="E8">
        <v>3.8139744574539498</v>
      </c>
      <c r="F8">
        <v>0.18613154254604991</v>
      </c>
      <c r="G8" s="2">
        <v>4.6531652547719966E-2</v>
      </c>
      <c r="H8">
        <v>282</v>
      </c>
      <c r="I8">
        <f>1+59/60</f>
        <v>1.9833333333333334</v>
      </c>
    </row>
    <row r="9" spans="1:9" x14ac:dyDescent="0.2">
      <c r="C9">
        <v>5</v>
      </c>
      <c r="D9" t="s">
        <v>32</v>
      </c>
      <c r="E9">
        <v>3.7457872366143201</v>
      </c>
      <c r="F9">
        <v>0.27225876338567989</v>
      </c>
      <c r="G9" s="2">
        <v>6.7758996135355312E-2</v>
      </c>
      <c r="H9">
        <v>627</v>
      </c>
      <c r="I9">
        <f>4+28/60</f>
        <v>4.4666666666666668</v>
      </c>
    </row>
  </sheetData>
  <conditionalFormatting sqref="E2:E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VFB1 day 9</vt:lpstr>
      <vt:lpstr>VFB1 all days</vt:lpstr>
      <vt:lpstr>VFB2 day 9 RF</vt:lpstr>
      <vt:lpstr>VFB2 all days 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Yu</dc:creator>
  <cp:lastModifiedBy>Yu, Grace T.</cp:lastModifiedBy>
  <dcterms:created xsi:type="dcterms:W3CDTF">2023-07-02T19:11:41Z</dcterms:created>
  <dcterms:modified xsi:type="dcterms:W3CDTF">2024-07-15T03:52:23Z</dcterms:modified>
</cp:coreProperties>
</file>