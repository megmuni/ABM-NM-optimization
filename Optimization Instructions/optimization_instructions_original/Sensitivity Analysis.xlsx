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237540/Desktop/"/>
    </mc:Choice>
  </mc:AlternateContent>
  <xr:revisionPtr revIDLastSave="0" documentId="13_ncr:1_{319E5F2B-0B94-7E42-A17A-64FA5E32B2B9}" xr6:coauthVersionLast="47" xr6:coauthVersionMax="47" xr10:uidLastSave="{00000000-0000-0000-0000-000000000000}"/>
  <bookViews>
    <workbookView xWindow="0" yWindow="760" windowWidth="29400" windowHeight="16840" xr2:uid="{00000000-000D-0000-FFFF-FFFF00000000}"/>
  </bookViews>
  <sheets>
    <sheet name="Param list new" sheetId="14" r:id="rId1"/>
    <sheet name="Sheet1" sheetId="1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7" i="14" l="1"/>
  <c r="R70" i="14"/>
  <c r="T69" i="14"/>
  <c r="R69" i="14"/>
  <c r="R68" i="14"/>
  <c r="R67" i="14"/>
  <c r="T66" i="14"/>
  <c r="R66" i="14"/>
  <c r="R65" i="14"/>
  <c r="T64" i="14"/>
  <c r="R64" i="14"/>
  <c r="T49" i="14"/>
  <c r="R49" i="14"/>
  <c r="T48" i="14"/>
  <c r="R48" i="14"/>
  <c r="T47" i="14"/>
  <c r="R47" i="14"/>
  <c r="T46" i="14"/>
  <c r="R46" i="14"/>
  <c r="T45" i="14"/>
  <c r="R45" i="14"/>
  <c r="T44" i="14"/>
  <c r="R44" i="14"/>
</calcChain>
</file>

<file path=xl/sharedStrings.xml><?xml version="1.0" encoding="utf-8"?>
<sst xmlns="http://schemas.openxmlformats.org/spreadsheetml/2006/main" count="1419" uniqueCount="302">
  <si>
    <t>Class</t>
  </si>
  <si>
    <t>#</t>
  </si>
  <si>
    <t>Parameter Number</t>
  </si>
  <si>
    <t>Parameter Name</t>
  </si>
  <si>
    <t>Description</t>
  </si>
  <si>
    <t>Getting values from SimLab in these treatments for Morris</t>
  </si>
  <si>
    <t>Getting values from SimLab in these treatments for Sobol</t>
  </si>
  <si>
    <t>Scaffold ABM Patameters</t>
  </si>
  <si>
    <t>Default Value</t>
  </si>
  <si>
    <t>Stored in</t>
  </si>
  <si>
    <t>Type</t>
  </si>
  <si>
    <t>Distribution</t>
  </si>
  <si>
    <t>Lower bound</t>
  </si>
  <si>
    <t>Upper bound</t>
  </si>
  <si>
    <t>Stdev</t>
  </si>
  <si>
    <t>Fibroblast</t>
  </si>
  <si>
    <t>FibCytSynth1</t>
  </si>
  <si>
    <t>Cytokine Synthesis: F1</t>
  </si>
  <si>
    <t>VR&amp;HAGtn</t>
  </si>
  <si>
    <t>Always default</t>
  </si>
  <si>
    <t>HAGtn</t>
  </si>
  <si>
    <t>Fibroblast::cytokineSynthesis[1]</t>
  </si>
  <si>
    <t>float</t>
  </si>
  <si>
    <t>Lognormal(μ: 1.01283523961156, σ: 1.0063971579906) on the interval [0.1, 10]</t>
  </si>
  <si>
    <t>μ:</t>
  </si>
  <si>
    <t>1.01283523961156</t>
  </si>
  <si>
    <t>σ:</t>
  </si>
  <si>
    <t>1.0063971579906</t>
  </si>
  <si>
    <t>truncate values:</t>
  </si>
  <si>
    <t>to</t>
  </si>
  <si>
    <t>truncate percentage CDF:</t>
  </si>
  <si>
    <t>SIMLAB truncation:</t>
  </si>
  <si>
    <t>FibCytSynth2</t>
  </si>
  <si>
    <t>Cytokine Synthesis: F2</t>
  </si>
  <si>
    <t>Fibroblast::cytokineSynthesis[2]</t>
  </si>
  <si>
    <t>Lognormal(μ: 1.7059824201715, σ: 1.0063971579906) on the interval [0.2, 20]</t>
  </si>
  <si>
    <t>1.7059824201715</t>
  </si>
  <si>
    <t>FibCytSynth7</t>
  </si>
  <si>
    <t>Cytokine Synthesis: F7</t>
  </si>
  <si>
    <t>VR&amp;RV&amp;SS&amp;HAGtn</t>
  </si>
  <si>
    <t>VR&amp;RV&amp;SS</t>
  </si>
  <si>
    <t>Fibroblast::cytokineSynthesis[7]</t>
  </si>
  <si>
    <t>Lognormal(μ: 3.3154203326056, σ: 1.0063971579906) on the interval [1, 100]</t>
  </si>
  <si>
    <t>3.3154203326056</t>
  </si>
  <si>
    <t>FibCytSynth8</t>
  </si>
  <si>
    <t>Cytokine Synthesis: F8</t>
  </si>
  <si>
    <t>Fibroblast::cytokineSynthesis[8]</t>
  </si>
  <si>
    <t>Lognormal(μ: 0.31968805905161, σ: 1.0063971579906) on the interval [0.05, 5]</t>
  </si>
  <si>
    <t>0.31968805905161</t>
  </si>
  <si>
    <t>FibCytSynth9</t>
  </si>
  <si>
    <t>Cytokine Synthesis: F9</t>
  </si>
  <si>
    <t>Fibroblast::cytokineSynthesis[9]</t>
  </si>
  <si>
    <t>FibCytSynth10</t>
  </si>
  <si>
    <t>Cytokine Synthesis: F10</t>
  </si>
  <si>
    <t>Fibroblast::cytokineSynthesis[10]</t>
  </si>
  <si>
    <t>Lognormal(μ: 2.62227315204566, σ: 1.0063971579906) on the interval [0.5, 50]</t>
  </si>
  <si>
    <t>2.62227315204566</t>
  </si>
  <si>
    <t>FibCytSynth11</t>
  </si>
  <si>
    <t>Cytokine Synthesis: F11</t>
  </si>
  <si>
    <t>Fibroblast::cytokineSynthesis[11]</t>
  </si>
  <si>
    <t>Lognormal(μ: -3.59233494637654, σ: 1.0063971579906) on the interval [0.001, 0.1]</t>
  </si>
  <si>
    <t>-3.59233494637654</t>
  </si>
  <si>
    <t>FibCytSynth12</t>
  </si>
  <si>
    <t>Cytokine Synthesis: F12</t>
  </si>
  <si>
    <t>Fibroblast::cytokineSynthesis[12]</t>
  </si>
  <si>
    <t>FibCytSynth13</t>
  </si>
  <si>
    <t>Cytokine Synthesis: F13</t>
  </si>
  <si>
    <t>Fibroblast::cytokineSynthesis[13]</t>
  </si>
  <si>
    <t>FibCytSynth26</t>
  </si>
  <si>
    <t>Cytokine Synthesis: F26</t>
  </si>
  <si>
    <t>Fibroblast::cytokineSynthesis[26]</t>
  </si>
  <si>
    <t>FibCytSynth27</t>
  </si>
  <si>
    <t>Cytokine Synthesis: F27</t>
  </si>
  <si>
    <t>Fibroblast::cytokineSynthesis[27]</t>
  </si>
  <si>
    <t>WHWorld</t>
  </si>
  <si>
    <t>WhThreshTNFdam</t>
  </si>
  <si>
    <t>TNF damage threshold</t>
  </si>
  <si>
    <t>WHWorld::thresholdTNFdamage</t>
  </si>
  <si>
    <t>FibActivat0</t>
  </si>
  <si>
    <t>Threshold of patch TGF for fibroblast activation</t>
  </si>
  <si>
    <t>Fibroblast::activation[0]</t>
  </si>
  <si>
    <t>Lognormal(μ: 7.22744333803375, σ: 1.0063971579906) on the interval [50, 5000]</t>
  </si>
  <si>
    <t>7.22744333803375</t>
  </si>
  <si>
    <t>FibActivat1</t>
  </si>
  <si>
    <t>Random chance in fibroblast activation</t>
  </si>
  <si>
    <t>Fibroblast::activation[1]</t>
  </si>
  <si>
    <t>FibActivat2</t>
  </si>
  <si>
    <t>Fibroblast::activation[2]</t>
  </si>
  <si>
    <t>Lognormal(μ: 4.23171106447976, σ: 1.0063971579906) on the interval [2.5, 250]</t>
  </si>
  <si>
    <t>4.23171106447976</t>
  </si>
  <si>
    <t>FibActivat3</t>
  </si>
  <si>
    <t>VR</t>
  </si>
  <si>
    <t>Fibroblast::activation[3]</t>
  </si>
  <si>
    <t>Lognormal(μ: -0.596602672822545, σ: 1.0063971579906) on the interval [0.02, 2]</t>
  </si>
  <si>
    <t>-0.596602672822545</t>
  </si>
  <si>
    <t>FibActivat4</t>
  </si>
  <si>
    <t>Random chance in fibroblast deactivation</t>
  </si>
  <si>
    <t>Fibroblast::activation[4]</t>
  </si>
  <si>
    <t>FibECMsynth0</t>
  </si>
  <si>
    <t>Constant for log shift in collagen synthesis</t>
  </si>
  <si>
    <t>Fibroblast::ECMsynthesis[0]</t>
  </si>
  <si>
    <t>FibECMsynth1</t>
  </si>
  <si>
    <t>Fibroblast::ECMsynthesis[1]</t>
  </si>
  <si>
    <t>FibECMsynth2</t>
  </si>
  <si>
    <t>Percentage of mean IL8 in collagen synthesis</t>
  </si>
  <si>
    <t>Fibroblast::ECMsynthesis[2]</t>
  </si>
  <si>
    <t>FibECMsynth3</t>
  </si>
  <si>
    <t>Random chance in collagen synthesis</t>
  </si>
  <si>
    <t>Fibroblast::ECMsynthesis[3]</t>
  </si>
  <si>
    <t>Lognormal(μ: 4.9248582450397, σ: 1.0063971579906) on the interval [5, 100]</t>
  </si>
  <si>
    <t>4.9248582450397</t>
  </si>
  <si>
    <t>FibECMsynth4</t>
  </si>
  <si>
    <t>Fibroblast::ECMsynthesis[4]</t>
  </si>
  <si>
    <t>Lognormal(μ: 4.23171106447976, σ: 1.0063971579906) on the interval [2.5, 100]</t>
  </si>
  <si>
    <t>FibECMsynth5</t>
  </si>
  <si>
    <t>Fibroblast::ECMsynthesis[5]</t>
  </si>
  <si>
    <t>FibECMsynth6</t>
  </si>
  <si>
    <t>Fibroblast::ECMsynthesis[6]</t>
  </si>
  <si>
    <t>FibECMsynth7</t>
  </si>
  <si>
    <t>Fibroblast::ECMsynthesis[7]</t>
  </si>
  <si>
    <t>FibECMsynth8</t>
  </si>
  <si>
    <t>Constant for log shift in elastin synthesis</t>
  </si>
  <si>
    <t>Fibroblast::ECMsynthesis[8]</t>
  </si>
  <si>
    <t>FibECMsynth9</t>
  </si>
  <si>
    <t>Fibroblast::ECMsynthesis[9]</t>
  </si>
  <si>
    <t>FibECMsynth10</t>
  </si>
  <si>
    <t>Random chance in elastin synthesis</t>
  </si>
  <si>
    <t>Fibroblast::ECMsynthesis[10]</t>
  </si>
  <si>
    <t>FibECMsynth11</t>
  </si>
  <si>
    <t>Fibroblast::ECMsynthesis[11]</t>
  </si>
  <si>
    <t>FibECMsynth12</t>
  </si>
  <si>
    <t>Constant for log shift in hyaluronan synthesis</t>
  </si>
  <si>
    <t>Fibroblast::ECMsynthesis[12]</t>
  </si>
  <si>
    <t>FibECMsynth13</t>
  </si>
  <si>
    <t>Fibroblast::ECMsynthesis[13]</t>
  </si>
  <si>
    <t>FibECMsynth14</t>
  </si>
  <si>
    <t>Random chance in hyaluronan synthesis</t>
  </si>
  <si>
    <t>Fibroblast::ECMsynthesis[14]</t>
  </si>
  <si>
    <t>FibECMsynth15</t>
  </si>
  <si>
    <t>Fibroblast::ECMsynthesis[15]</t>
  </si>
  <si>
    <t>FibECMsynth16</t>
  </si>
  <si>
    <t>Fibroblast::ECMsynthesis[16]</t>
  </si>
  <si>
    <t>FibECMsynth17</t>
  </si>
  <si>
    <t>Hours between collagen &amp; elastin synthesis</t>
  </si>
  <si>
    <t>Fibroblast::ECMsynthesis[17]</t>
  </si>
  <si>
    <t>Discrete (Every 0.5) on the interval [1.5, 120] based off of Lognormal(μ: 3.49774188939956, σ: 1.0063971579906)</t>
  </si>
  <si>
    <t>See sheet 3 for values and weights</t>
  </si>
  <si>
    <t>FibECMsynth18</t>
  </si>
  <si>
    <t>Hours between hyaluronan synthesis</t>
  </si>
  <si>
    <t>Fibroblast::ECMsynthesis[18]</t>
  </si>
  <si>
    <t>Discrete (Every 0.5) on the interval [0.5, 10] based off of Lognormal(μ: 1.01283523961156, σ: 1.0063971579906)</t>
  </si>
  <si>
    <t>FibProlif0</t>
  </si>
  <si>
    <t>Hours between fibroblast proliferation</t>
  </si>
  <si>
    <t>Fibroblast::proliferation[0]</t>
  </si>
  <si>
    <t>Discrete (Every 0.5) on the interval [2.5, 120] based off of Lognormal(μ: 4.1908890699595, σ: 1.0063971579906)</t>
  </si>
  <si>
    <t>FibProlif1</t>
  </si>
  <si>
    <t>Threshold of mean TGF for fibroblast proliferation</t>
  </si>
  <si>
    <t>Fibroblast::proliferation[1]</t>
  </si>
  <si>
    <t>FibProlif2</t>
  </si>
  <si>
    <t>Constant for log shift in fibroblast proliferation</t>
  </si>
  <si>
    <t>Fibroblast::proliferation[2]</t>
  </si>
  <si>
    <t>FibProlif3</t>
  </si>
  <si>
    <t>Fibroblast::proliferation[3]</t>
  </si>
  <si>
    <t>FibProlif4</t>
  </si>
  <si>
    <t>Random chance in fibroblast proliferation</t>
  </si>
  <si>
    <t>Fibroblast::proliferation[4]</t>
  </si>
  <si>
    <t>FibProlif5</t>
  </si>
  <si>
    <t>Fibroblast::proliferation[5]</t>
  </si>
  <si>
    <t>Lognormal(μ: 2.11144752827967, σ: 1.0063971579906) on the interval [0.3, 30]</t>
  </si>
  <si>
    <t>2.11144752827967</t>
  </si>
  <si>
    <t>WHWor::ElasticMod0</t>
  </si>
  <si>
    <t>Hydrogel Elastic Mod</t>
  </si>
  <si>
    <t>WHWorld::ElasticMod[0]</t>
  </si>
  <si>
    <t>Lognormal(μ: -5.20177285881064, σ: 1.0063971579906) on the interval [0.0002, 0.02]</t>
  </si>
  <si>
    <t>-5.20177285881064</t>
  </si>
  <si>
    <t>WHWor::ElasticMod1</t>
  </si>
  <si>
    <t>WHWorld::ElasticMod[1]</t>
  </si>
  <si>
    <t>Lognormal(μ: 5.27269424031123, σ: 1.0063971579906) on the interval [7.08, 708]</t>
  </si>
  <si>
    <t>5.27269424031123</t>
  </si>
  <si>
    <t>WHWor::ElasticMod2</t>
  </si>
  <si>
    <t>WHWorld::ElasticMod[2]</t>
  </si>
  <si>
    <t>Lognormal(μ: 3.94669210944746, σ: 1.0063971579906) on the interval [1.88, 188]</t>
  </si>
  <si>
    <t>3.94669210944746</t>
  </si>
  <si>
    <t>WHWor::ElasticMod3</t>
  </si>
  <si>
    <t>WHWorld::ElasticMod[3]</t>
  </si>
  <si>
    <t>Lognormal(μ: 6.78053104001141, σ: 1.0063971579906) on the interval [31.98, 3198]</t>
  </si>
  <si>
    <t>6.78053104001141</t>
  </si>
  <si>
    <t>WHWor::ElasticMod4</t>
  </si>
  <si>
    <t>WHWorld::ElasticMod[4]</t>
  </si>
  <si>
    <t>Lognormal(μ: 1.19515679640551, σ: 1.0063971579906) on the interval [0.12, 12]</t>
  </si>
  <si>
    <t>1.19515679640551</t>
  </si>
  <si>
    <t>WHWor::ElasticMod5</t>
  </si>
  <si>
    <t>WHWorld::ElasticMod[6]</t>
  </si>
  <si>
    <t>Lognormal(μ: 2.92975785179362, σ: 1.0063971579906) on the interval [0.68, 68]</t>
  </si>
  <si>
    <t>2.92975785179362</t>
  </si>
  <si>
    <t>WHWord::XLDensity0</t>
  </si>
  <si>
    <t>Hydrogel Crosslink Density</t>
  </si>
  <si>
    <t>WHWorld::XLDensity[0]</t>
  </si>
  <si>
    <t>Lognormal(μ: 1.84574436254666, σ: 1.0063971579906) on the interval [0.23, 23]</t>
  </si>
  <si>
    <t>1.84574436254666</t>
  </si>
  <si>
    <t>WHWord::XLDensity1</t>
  </si>
  <si>
    <t>WHWorld::XLDensity[1]</t>
  </si>
  <si>
    <t>Lognormal(μ: 3.32537066345877, σ: 1.0063971579906) on the interval [1.01, 101]</t>
  </si>
  <si>
    <t>3.32537066345877</t>
  </si>
  <si>
    <t>WHWor::SwellRatio0</t>
  </si>
  <si>
    <t>Hydrogel Swelling Ratio</t>
  </si>
  <si>
    <t>WHWorld::SwellRatio[0]</t>
  </si>
  <si>
    <t>Lognormal(μ: 0.0965445077374006, σ: 1.0063971579906) on the interval [0.04, 4]</t>
  </si>
  <si>
    <t>0.0965445077374006</t>
  </si>
  <si>
    <t>WHWor::SwellRatio1</t>
  </si>
  <si>
    <t>WHWorld::SwellRatio[1]</t>
  </si>
  <si>
    <t>WHWor::SwellRatio2</t>
  </si>
  <si>
    <t>WHWorld::SwellRatio[2]</t>
  </si>
  <si>
    <t>WHWor::SwellRatio3</t>
  </si>
  <si>
    <t>WHWorld::SwellRatio[3]</t>
  </si>
  <si>
    <t>Lognormal(μ: 3.07969799908453, σ: 1.0063971579906) on the interval [0.79, 79]</t>
  </si>
  <si>
    <t>3.07969799908453</t>
  </si>
  <si>
    <t>WHWor::SwellRatio4</t>
  </si>
  <si>
    <t>WHWorld::SwellRatio[4]</t>
  </si>
  <si>
    <t>Lognormal(μ: 8.25706275521491, σ: 1.0063971579906) on the interval [140, 14000]</t>
  </si>
  <si>
    <t>8.25706275521491</t>
  </si>
  <si>
    <t>WHWorld::MassLoss0</t>
  </si>
  <si>
    <t>Hydrogel Mass Loss</t>
  </si>
  <si>
    <t>WHWorld::MassLoss[0]</t>
  </si>
  <si>
    <t>Lognormal(μ: 3.0669589733071, σ: 1.0063971579906) on the interval [0.78, 78]</t>
  </si>
  <si>
    <t>3.0669589733071</t>
  </si>
  <si>
    <t>WHWorld::MassLoss1</t>
  </si>
  <si>
    <t>WHWorld::MassLoss[1]</t>
  </si>
  <si>
    <t>Lognormal(μ: -0.19113756471438, σ: 1.0063971579906) on the interval [0.03, 3]</t>
  </si>
  <si>
    <t>-0.19113756471438</t>
  </si>
  <si>
    <t>WHWorld::MassLoss2</t>
  </si>
  <si>
    <t>WHWorld::MassLoss[2]</t>
  </si>
  <si>
    <t>Lognormal(μ: 5.20248998163798, σ: 1.0063971579906) on the interval [6.6, 660]</t>
  </si>
  <si>
    <t>5.20248998163798</t>
  </si>
  <si>
    <t>WHWorld::MassLoss3</t>
  </si>
  <si>
    <t>WHWorld::MassLoss[3]</t>
  </si>
  <si>
    <t>Lognormal(μ: 2.68054206016963, σ: 1.0063971579906) on the interval [0.53, 53]</t>
  </si>
  <si>
    <t>2.68054206016963</t>
  </si>
  <si>
    <t>WHWorld::PoreSize0</t>
  </si>
  <si>
    <t>WHWorld::PoreSize[0]</t>
  </si>
  <si>
    <t>WHWorld::PoreSize1</t>
  </si>
  <si>
    <t>WHWorld::PoreSize[1]</t>
  </si>
  <si>
    <t>Lognormal(μ: 6.74908490440526, σ: 1.0063971579906) on the interval [30.99, 3099]</t>
  </si>
  <si>
    <t>6.74908490440526</t>
  </si>
  <si>
    <t>WHWorld::PoreSize2</t>
  </si>
  <si>
    <t>WHWorld::PoreSize[2]</t>
  </si>
  <si>
    <t>Lognormal(μ: 5.9408133000268, σ: 1.0063971579906) on the interval [13.81, 1381]</t>
  </si>
  <si>
    <t>5.9408133000268</t>
  </si>
  <si>
    <t>Agent</t>
  </si>
  <si>
    <t>AgentollagenSynt0</t>
  </si>
  <si>
    <t>Fibroblast Collagen Production</t>
  </si>
  <si>
    <t>Agent::CollagenSynth[0]</t>
  </si>
  <si>
    <t>Lognormal(μ: -4.79630775070247, σ: 1.0063971579906) on the interval [0.0003, 0.03]</t>
  </si>
  <si>
    <t>-4.79630775070247</t>
  </si>
  <si>
    <t>AgentollagenSynth1</t>
  </si>
  <si>
    <t>Agent::CollagenSynth[1]</t>
  </si>
  <si>
    <t>Lognormal(μ: 3.70068273339625, σ: 1.0063971579906) on the interval [1.47, 147]</t>
  </si>
  <si>
    <t>3.70068273339625</t>
  </si>
  <si>
    <t>AgentollagenSynth2</t>
  </si>
  <si>
    <t>Agent::CollagenSynth[2]</t>
  </si>
  <si>
    <t>Lognormal(μ: 4.27859465037861, σ: 1.0063971579906) on the interval [2.62, 262]</t>
  </si>
  <si>
    <t>4.27859465037861</t>
  </si>
  <si>
    <t>AgentElastinSynth0</t>
  </si>
  <si>
    <t>Fibroblast Elastin Production</t>
  </si>
  <si>
    <t>Agent::ElastinSynth[0]</t>
  </si>
  <si>
    <t>Lognormal(μ: -8.70833075613062, σ: 1.0063971579906) on the interval [0.000006, 0.0006]</t>
  </si>
  <si>
    <t>-8.70833075613062</t>
  </si>
  <si>
    <t>AgentElastinSynth1</t>
  </si>
  <si>
    <t>Agent::ElastinSynth[1]</t>
  </si>
  <si>
    <t>Lognormal(μ: 5.28113310895709, σ: 1.0063971579906) on the interval [7.14, 714]</t>
  </si>
  <si>
    <t>5.28113310895709</t>
  </si>
  <si>
    <t>Agentent::HASynth0</t>
  </si>
  <si>
    <t>Fibroblast sGAG Production</t>
  </si>
  <si>
    <t>Agent::HASynth[0]</t>
  </si>
  <si>
    <t>Agentent::HASynth1</t>
  </si>
  <si>
    <t>Agent::HASynth[1]</t>
  </si>
  <si>
    <t>Agent:HAGtnProlif0</t>
  </si>
  <si>
    <t>Fibroblast Proliferation Rate</t>
  </si>
  <si>
    <t>Agent::HAGtnProlif[0]</t>
  </si>
  <si>
    <t>Lognormal(μ: 3.49774188939956, σ: 1.0063971579906) on the interval [1.2, 120]</t>
  </si>
  <si>
    <t>3.49774188939956</t>
  </si>
  <si>
    <t>Agent:HAGtnProlif1</t>
  </si>
  <si>
    <t>Agent::HAGtnProlif[1]</t>
  </si>
  <si>
    <t>Lognormal(μ: 3.48093477108318, σ: 1.0063971579906) on the interval [1.18, 118]</t>
  </si>
  <si>
    <t>3.48093477108318</t>
  </si>
  <si>
    <t>Agent:HAGtnProlif2</t>
  </si>
  <si>
    <t>Agent::HAGtnProlif[2]</t>
  </si>
  <si>
    <t>Lognormal(μ: 4.08088817474517, σ: 1.0063971579906) on the interval [2.15, 215]</t>
  </si>
  <si>
    <t>4.08088817474517</t>
  </si>
  <si>
    <t>Agent:HAGtnProlif3</t>
  </si>
  <si>
    <t>Agent::HAGtnProlif[3]</t>
  </si>
  <si>
    <t>Lognormal(μ: 4.00856751316555, σ: 1.0063971579906) on the interval [2, 200]</t>
  </si>
  <si>
    <t>4.00856751316555</t>
  </si>
  <si>
    <t>AgentGtnViability0</t>
  </si>
  <si>
    <t>Fibroblast Viability</t>
  </si>
  <si>
    <t>Agent::HAGtnViability[0]</t>
  </si>
  <si>
    <t>Lognormal(μ: 0.725153167159775, σ: 1.0063971579906) on the interval [0.075, 7.5]</t>
  </si>
  <si>
    <t>0.725153167159775</t>
  </si>
  <si>
    <t>AgentGtnViability1</t>
  </si>
  <si>
    <t>Agent::HAGtnViability[1]</t>
  </si>
  <si>
    <t>Lognormal(μ: 5.13592921511964, σ: 1.0063971579906) on the interval [6.175, 617.5]</t>
  </si>
  <si>
    <t>5.13592921511964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</si>
</sst>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7">
    <font>
      <sz val="12"/>
      <color theme="1"/>
      <name val="Arial"/>
      <family val="2"/>
    </font>
    <font>
      <sz val="10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4" fontId="3" fillId="0" borderId="0"/>
  </cellStyleXfs>
  <cellXfs count="8">
    <xf numFmtId="0" fontId="0" fillId="0" borderId="0" xfId="0"/>
    <xf numFmtId="0" fontId="4" fillId="0" borderId="0" xfId="0" applyFont="1"/>
    <xf numFmtId="0" fontId="0" fillId="2" borderId="0" xfId="0" applyFill="1"/>
    <xf numFmtId="0" fontId="5" fillId="0" borderId="0" xfId="0" applyFont="1"/>
    <xf numFmtId="0" fontId="6" fillId="0" borderId="0" xfId="0" applyFont="1"/>
    <xf numFmtId="11" fontId="0" fillId="0" borderId="0" xfId="0" applyNumberFormat="1"/>
    <xf numFmtId="0" fontId="0" fillId="3" borderId="0" xfId="0" applyFill="1"/>
    <xf numFmtId="0" fontId="5" fillId="3" borderId="0" xfId="0" applyFont="1" applyFill="1"/>
  </cellXfs>
  <cellStyles count="6">
    <cellStyle name="ConditionalStyle_1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0F4E-9A5C-9443-82D1-EBB4EFE9F007}">
  <dimension ref="A1:AC76"/>
  <sheetViews>
    <sheetView tabSelected="1" topLeftCell="F1" zoomScale="110" zoomScaleNormal="110" workbookViewId="0">
      <selection activeCell="I73" sqref="I73"/>
    </sheetView>
  </sheetViews>
  <sheetFormatPr defaultColWidth="11.5546875" defaultRowHeight="15.95"/>
  <cols>
    <col min="4" max="4" width="16.6640625" customWidth="1"/>
    <col min="5" max="5" width="25.6640625" customWidth="1"/>
    <col min="10" max="10" width="27.44140625" customWidth="1"/>
    <col min="18" max="18" width="11.88671875" customWidth="1"/>
    <col min="19" max="19" width="4.109375" customWidth="1"/>
  </cols>
  <sheetData>
    <row r="1" spans="1:2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R1" s="1" t="s">
        <v>12</v>
      </c>
      <c r="T1" s="1" t="s">
        <v>13</v>
      </c>
      <c r="AC1" s="1" t="s">
        <v>14</v>
      </c>
    </row>
    <row r="2" spans="1:29">
      <c r="A2" t="s">
        <v>15</v>
      </c>
      <c r="B2">
        <v>1</v>
      </c>
      <c r="C2">
        <v>0</v>
      </c>
      <c r="D2" s="3" t="s">
        <v>16</v>
      </c>
      <c r="E2" t="s">
        <v>17</v>
      </c>
      <c r="F2" t="s">
        <v>18</v>
      </c>
      <c r="G2" t="s">
        <v>19</v>
      </c>
      <c r="H2" t="s">
        <v>20</v>
      </c>
      <c r="I2">
        <v>1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>
        <v>0.1</v>
      </c>
      <c r="S2" t="s">
        <v>29</v>
      </c>
      <c r="T2">
        <v>10</v>
      </c>
      <c r="U2" t="s">
        <v>30</v>
      </c>
      <c r="V2">
        <v>4.9325513008380284E-4</v>
      </c>
      <c r="W2" t="s">
        <v>29</v>
      </c>
      <c r="X2">
        <v>0.89999999999999925</v>
      </c>
      <c r="Y2" t="s">
        <v>31</v>
      </c>
      <c r="Z2">
        <v>1E-3</v>
      </c>
      <c r="AA2" t="s">
        <v>29</v>
      </c>
      <c r="AB2">
        <v>0.9</v>
      </c>
    </row>
    <row r="3" spans="1:29">
      <c r="A3" t="s">
        <v>15</v>
      </c>
      <c r="B3">
        <v>2</v>
      </c>
      <c r="C3">
        <v>1</v>
      </c>
      <c r="D3" s="3" t="s">
        <v>32</v>
      </c>
      <c r="E3" t="s">
        <v>33</v>
      </c>
      <c r="F3" t="s">
        <v>18</v>
      </c>
      <c r="G3" t="s">
        <v>19</v>
      </c>
      <c r="H3" t="s">
        <v>20</v>
      </c>
      <c r="I3">
        <v>2</v>
      </c>
      <c r="J3" t="s">
        <v>34</v>
      </c>
      <c r="K3" t="s">
        <v>22</v>
      </c>
      <c r="L3" t="s">
        <v>35</v>
      </c>
      <c r="M3" t="s">
        <v>24</v>
      </c>
      <c r="N3" t="s">
        <v>36</v>
      </c>
      <c r="O3" t="s">
        <v>26</v>
      </c>
      <c r="P3" t="s">
        <v>27</v>
      </c>
      <c r="Q3" t="s">
        <v>28</v>
      </c>
      <c r="R3">
        <v>0.2</v>
      </c>
      <c r="S3" t="s">
        <v>29</v>
      </c>
      <c r="T3">
        <v>20</v>
      </c>
      <c r="U3" t="s">
        <v>30</v>
      </c>
      <c r="V3">
        <v>4.9325513008385835E-4</v>
      </c>
      <c r="W3" t="s">
        <v>29</v>
      </c>
      <c r="X3">
        <v>0.90000000000000013</v>
      </c>
      <c r="Y3" t="s">
        <v>31</v>
      </c>
      <c r="Z3">
        <v>1E-3</v>
      </c>
      <c r="AA3" t="s">
        <v>29</v>
      </c>
      <c r="AB3">
        <v>0.9</v>
      </c>
    </row>
    <row r="4" spans="1:29">
      <c r="A4" t="s">
        <v>15</v>
      </c>
      <c r="B4">
        <v>7</v>
      </c>
      <c r="C4">
        <v>2</v>
      </c>
      <c r="D4" s="3" t="s">
        <v>37</v>
      </c>
      <c r="E4" t="s">
        <v>38</v>
      </c>
      <c r="F4" t="s">
        <v>39</v>
      </c>
      <c r="G4" t="s">
        <v>40</v>
      </c>
      <c r="H4" t="s">
        <v>20</v>
      </c>
      <c r="I4">
        <v>10</v>
      </c>
      <c r="J4" t="s">
        <v>41</v>
      </c>
      <c r="K4" t="s">
        <v>22</v>
      </c>
      <c r="L4" t="s">
        <v>42</v>
      </c>
      <c r="M4" t="s">
        <v>24</v>
      </c>
      <c r="N4" t="s">
        <v>43</v>
      </c>
      <c r="O4" t="s">
        <v>26</v>
      </c>
      <c r="P4" t="s">
        <v>27</v>
      </c>
      <c r="Q4" t="s">
        <v>28</v>
      </c>
      <c r="R4">
        <v>1</v>
      </c>
      <c r="S4" t="s">
        <v>29</v>
      </c>
      <c r="T4">
        <v>100</v>
      </c>
      <c r="U4" t="s">
        <v>30</v>
      </c>
      <c r="V4">
        <v>4.9325513008385835E-4</v>
      </c>
      <c r="W4" t="s">
        <v>29</v>
      </c>
      <c r="X4">
        <v>0.90000000000000036</v>
      </c>
      <c r="Y4" t="s">
        <v>31</v>
      </c>
      <c r="Z4">
        <v>1E-3</v>
      </c>
      <c r="AA4" t="s">
        <v>29</v>
      </c>
      <c r="AB4">
        <v>0.9</v>
      </c>
    </row>
    <row r="5" spans="1:29">
      <c r="A5" t="s">
        <v>15</v>
      </c>
      <c r="B5">
        <v>8</v>
      </c>
      <c r="C5">
        <v>3</v>
      </c>
      <c r="D5" s="3" t="s">
        <v>44</v>
      </c>
      <c r="E5" t="s">
        <v>45</v>
      </c>
      <c r="F5" t="s">
        <v>39</v>
      </c>
      <c r="G5" t="s">
        <v>40</v>
      </c>
      <c r="H5" t="s">
        <v>20</v>
      </c>
      <c r="I5">
        <v>0.5</v>
      </c>
      <c r="J5" t="s">
        <v>46</v>
      </c>
      <c r="K5" t="s">
        <v>22</v>
      </c>
      <c r="L5" t="s">
        <v>47</v>
      </c>
      <c r="M5" t="s">
        <v>24</v>
      </c>
      <c r="N5" t="s">
        <v>48</v>
      </c>
      <c r="O5" t="s">
        <v>26</v>
      </c>
      <c r="P5" t="s">
        <v>27</v>
      </c>
      <c r="Q5" t="s">
        <v>28</v>
      </c>
      <c r="R5">
        <v>0.05</v>
      </c>
      <c r="S5" t="s">
        <v>29</v>
      </c>
      <c r="T5">
        <v>5</v>
      </c>
      <c r="U5" t="s">
        <v>30</v>
      </c>
      <c r="V5">
        <v>4.9325513008385835E-4</v>
      </c>
      <c r="W5" t="s">
        <v>29</v>
      </c>
      <c r="X5">
        <v>0.9</v>
      </c>
      <c r="Y5" t="s">
        <v>31</v>
      </c>
      <c r="Z5">
        <v>1E-3</v>
      </c>
      <c r="AA5" t="s">
        <v>29</v>
      </c>
      <c r="AB5">
        <v>0.9</v>
      </c>
    </row>
    <row r="6" spans="1:29">
      <c r="A6" t="s">
        <v>15</v>
      </c>
      <c r="B6">
        <v>9</v>
      </c>
      <c r="C6">
        <v>4</v>
      </c>
      <c r="D6" s="3" t="s">
        <v>49</v>
      </c>
      <c r="E6" t="s">
        <v>50</v>
      </c>
      <c r="F6" t="s">
        <v>39</v>
      </c>
      <c r="G6" t="s">
        <v>19</v>
      </c>
      <c r="H6" t="s">
        <v>20</v>
      </c>
      <c r="I6">
        <v>1</v>
      </c>
      <c r="J6" t="s">
        <v>51</v>
      </c>
      <c r="K6" t="s">
        <v>22</v>
      </c>
      <c r="L6" t="s">
        <v>23</v>
      </c>
      <c r="M6" t="s">
        <v>24</v>
      </c>
      <c r="N6" t="s">
        <v>25</v>
      </c>
      <c r="O6" t="s">
        <v>26</v>
      </c>
      <c r="P6" t="s">
        <v>27</v>
      </c>
      <c r="Q6" t="s">
        <v>28</v>
      </c>
      <c r="R6">
        <v>0.1</v>
      </c>
      <c r="S6" t="s">
        <v>29</v>
      </c>
      <c r="T6">
        <v>10</v>
      </c>
      <c r="U6" t="s">
        <v>30</v>
      </c>
      <c r="V6">
        <v>4.9325513008380284E-4</v>
      </c>
      <c r="W6" t="s">
        <v>29</v>
      </c>
      <c r="X6">
        <v>0.89999999999999925</v>
      </c>
      <c r="Y6" t="s">
        <v>31</v>
      </c>
      <c r="Z6">
        <v>1E-3</v>
      </c>
      <c r="AA6" t="s">
        <v>29</v>
      </c>
      <c r="AB6">
        <v>0.9</v>
      </c>
    </row>
    <row r="7" spans="1:29">
      <c r="A7" t="s">
        <v>15</v>
      </c>
      <c r="B7">
        <v>10</v>
      </c>
      <c r="C7">
        <v>5</v>
      </c>
      <c r="D7" s="3" t="s">
        <v>52</v>
      </c>
      <c r="E7" t="s">
        <v>53</v>
      </c>
      <c r="F7" t="s">
        <v>39</v>
      </c>
      <c r="G7" t="s">
        <v>40</v>
      </c>
      <c r="H7" t="s">
        <v>20</v>
      </c>
      <c r="I7">
        <v>5</v>
      </c>
      <c r="J7" t="s">
        <v>54</v>
      </c>
      <c r="K7" t="s">
        <v>22</v>
      </c>
      <c r="L7" t="s">
        <v>55</v>
      </c>
      <c r="M7" t="s">
        <v>24</v>
      </c>
      <c r="N7" t="s">
        <v>56</v>
      </c>
      <c r="O7" t="s">
        <v>26</v>
      </c>
      <c r="P7" t="s">
        <v>27</v>
      </c>
      <c r="Q7" t="s">
        <v>28</v>
      </c>
      <c r="R7">
        <v>0.5</v>
      </c>
      <c r="S7" t="s">
        <v>29</v>
      </c>
      <c r="T7">
        <v>50</v>
      </c>
      <c r="U7" t="s">
        <v>30</v>
      </c>
      <c r="V7">
        <v>4.9325513008380284E-4</v>
      </c>
      <c r="W7" t="s">
        <v>29</v>
      </c>
      <c r="X7">
        <v>0.89999999999999925</v>
      </c>
      <c r="Y7" t="s">
        <v>31</v>
      </c>
      <c r="Z7">
        <v>1E-3</v>
      </c>
      <c r="AA7" t="s">
        <v>29</v>
      </c>
      <c r="AB7">
        <v>0.9</v>
      </c>
    </row>
    <row r="8" spans="1:29">
      <c r="A8" t="s">
        <v>15</v>
      </c>
      <c r="B8">
        <v>11</v>
      </c>
      <c r="C8">
        <v>6</v>
      </c>
      <c r="D8" s="4" t="s">
        <v>57</v>
      </c>
      <c r="E8" t="s">
        <v>58</v>
      </c>
      <c r="F8" t="s">
        <v>18</v>
      </c>
      <c r="G8" t="s">
        <v>19</v>
      </c>
      <c r="H8" t="s">
        <v>20</v>
      </c>
      <c r="I8">
        <v>0.01</v>
      </c>
      <c r="J8" t="s">
        <v>59</v>
      </c>
      <c r="K8" t="s">
        <v>22</v>
      </c>
      <c r="L8" t="s">
        <v>60</v>
      </c>
      <c r="M8" t="s">
        <v>24</v>
      </c>
      <c r="N8" t="s">
        <v>61</v>
      </c>
      <c r="O8" t="s">
        <v>26</v>
      </c>
      <c r="P8" t="s">
        <v>27</v>
      </c>
      <c r="Q8" t="s">
        <v>28</v>
      </c>
      <c r="R8">
        <v>1E-3</v>
      </c>
      <c r="S8" t="s">
        <v>29</v>
      </c>
      <c r="T8">
        <v>0.1</v>
      </c>
      <c r="U8" t="s">
        <v>30</v>
      </c>
      <c r="V8">
        <v>4.9325513008385835E-4</v>
      </c>
      <c r="W8" t="s">
        <v>29</v>
      </c>
      <c r="X8">
        <v>0.9000000000000008</v>
      </c>
      <c r="Y8" t="s">
        <v>31</v>
      </c>
      <c r="Z8">
        <v>1E-3</v>
      </c>
      <c r="AA8" t="s">
        <v>29</v>
      </c>
      <c r="AB8">
        <v>0.9</v>
      </c>
    </row>
    <row r="9" spans="1:29">
      <c r="A9" t="s">
        <v>15</v>
      </c>
      <c r="B9">
        <v>12</v>
      </c>
      <c r="C9">
        <v>7</v>
      </c>
      <c r="D9" s="3" t="s">
        <v>62</v>
      </c>
      <c r="E9" t="s">
        <v>63</v>
      </c>
      <c r="F9" t="s">
        <v>18</v>
      </c>
      <c r="G9" t="s">
        <v>19</v>
      </c>
      <c r="H9" t="s">
        <v>20</v>
      </c>
      <c r="I9">
        <v>1</v>
      </c>
      <c r="J9" t="s">
        <v>64</v>
      </c>
      <c r="K9" t="s">
        <v>22</v>
      </c>
      <c r="L9" t="s">
        <v>23</v>
      </c>
      <c r="M9" t="s">
        <v>24</v>
      </c>
      <c r="N9" t="s">
        <v>25</v>
      </c>
      <c r="O9" t="s">
        <v>26</v>
      </c>
      <c r="P9" t="s">
        <v>27</v>
      </c>
      <c r="Q9" t="s">
        <v>28</v>
      </c>
      <c r="R9">
        <v>0.1</v>
      </c>
      <c r="S9" t="s">
        <v>29</v>
      </c>
      <c r="T9">
        <v>10</v>
      </c>
      <c r="U9" t="s">
        <v>30</v>
      </c>
      <c r="V9">
        <v>4.9325513008380284E-4</v>
      </c>
      <c r="W9" t="s">
        <v>29</v>
      </c>
      <c r="X9">
        <v>0.89999999999999925</v>
      </c>
      <c r="Y9" t="s">
        <v>31</v>
      </c>
      <c r="Z9">
        <v>1E-3</v>
      </c>
      <c r="AA9" t="s">
        <v>29</v>
      </c>
      <c r="AB9">
        <v>0.9</v>
      </c>
    </row>
    <row r="10" spans="1:29">
      <c r="A10" t="s">
        <v>15</v>
      </c>
      <c r="B10">
        <v>13</v>
      </c>
      <c r="C10">
        <v>8</v>
      </c>
      <c r="D10" s="3" t="s">
        <v>65</v>
      </c>
      <c r="E10" t="s">
        <v>66</v>
      </c>
      <c r="F10" t="s">
        <v>18</v>
      </c>
      <c r="G10" t="s">
        <v>19</v>
      </c>
      <c r="H10" t="s">
        <v>20</v>
      </c>
      <c r="I10">
        <v>1</v>
      </c>
      <c r="J10" t="s">
        <v>67</v>
      </c>
      <c r="K10" t="s">
        <v>22</v>
      </c>
      <c r="L10" t="s">
        <v>23</v>
      </c>
      <c r="M10" t="s">
        <v>24</v>
      </c>
      <c r="N10" t="s">
        <v>25</v>
      </c>
      <c r="O10" t="s">
        <v>26</v>
      </c>
      <c r="P10" t="s">
        <v>27</v>
      </c>
      <c r="Q10" t="s">
        <v>28</v>
      </c>
      <c r="R10">
        <v>0.1</v>
      </c>
      <c r="S10" t="s">
        <v>29</v>
      </c>
      <c r="T10">
        <v>10</v>
      </c>
      <c r="U10" t="s">
        <v>30</v>
      </c>
      <c r="V10">
        <v>4.9325513008380284E-4</v>
      </c>
      <c r="W10" t="s">
        <v>29</v>
      </c>
      <c r="X10">
        <v>0.89999999999999925</v>
      </c>
      <c r="Y10" t="s">
        <v>31</v>
      </c>
      <c r="Z10">
        <v>1E-3</v>
      </c>
      <c r="AA10" t="s">
        <v>29</v>
      </c>
      <c r="AB10">
        <v>0.9</v>
      </c>
    </row>
    <row r="11" spans="1:29">
      <c r="A11" t="s">
        <v>15</v>
      </c>
      <c r="B11">
        <v>26</v>
      </c>
      <c r="C11">
        <v>9</v>
      </c>
      <c r="D11" s="3" t="s">
        <v>68</v>
      </c>
      <c r="E11" t="s">
        <v>69</v>
      </c>
      <c r="F11" t="s">
        <v>18</v>
      </c>
      <c r="G11" t="s">
        <v>19</v>
      </c>
      <c r="H11" t="s">
        <v>20</v>
      </c>
      <c r="I11">
        <v>1</v>
      </c>
      <c r="J11" t="s">
        <v>70</v>
      </c>
      <c r="K11" t="s">
        <v>22</v>
      </c>
      <c r="L11" t="s">
        <v>23</v>
      </c>
      <c r="M11" t="s">
        <v>24</v>
      </c>
      <c r="N11" t="s">
        <v>25</v>
      </c>
      <c r="O11" t="s">
        <v>26</v>
      </c>
      <c r="P11" t="s">
        <v>27</v>
      </c>
      <c r="Q11" t="s">
        <v>28</v>
      </c>
      <c r="R11">
        <v>0.1</v>
      </c>
      <c r="S11" t="s">
        <v>29</v>
      </c>
      <c r="T11">
        <v>10</v>
      </c>
      <c r="U11" t="s">
        <v>30</v>
      </c>
      <c r="V11">
        <v>4.9325513008380284E-4</v>
      </c>
      <c r="W11" t="s">
        <v>29</v>
      </c>
      <c r="X11">
        <v>0.89999999999999925</v>
      </c>
      <c r="Y11" t="s">
        <v>31</v>
      </c>
      <c r="Z11">
        <v>1E-3</v>
      </c>
      <c r="AA11" t="s">
        <v>29</v>
      </c>
      <c r="AB11">
        <v>0.9</v>
      </c>
    </row>
    <row r="12" spans="1:29">
      <c r="A12" t="s">
        <v>15</v>
      </c>
      <c r="B12">
        <v>27</v>
      </c>
      <c r="C12">
        <v>10</v>
      </c>
      <c r="D12" s="3" t="s">
        <v>71</v>
      </c>
      <c r="E12" t="s">
        <v>72</v>
      </c>
      <c r="F12" t="s">
        <v>18</v>
      </c>
      <c r="G12" t="s">
        <v>19</v>
      </c>
      <c r="H12" t="s">
        <v>20</v>
      </c>
      <c r="I12">
        <v>1</v>
      </c>
      <c r="J12" t="s">
        <v>73</v>
      </c>
      <c r="K12" t="s">
        <v>22</v>
      </c>
      <c r="L12" t="s">
        <v>23</v>
      </c>
      <c r="M12" t="s">
        <v>24</v>
      </c>
      <c r="N12" t="s">
        <v>25</v>
      </c>
      <c r="O12" t="s">
        <v>26</v>
      </c>
      <c r="P12" t="s">
        <v>27</v>
      </c>
      <c r="Q12" t="s">
        <v>28</v>
      </c>
      <c r="R12">
        <v>0.1</v>
      </c>
      <c r="S12" t="s">
        <v>29</v>
      </c>
      <c r="T12">
        <v>10</v>
      </c>
      <c r="U12" t="s">
        <v>30</v>
      </c>
      <c r="V12">
        <v>4.9325513008380284E-4</v>
      </c>
      <c r="W12" t="s">
        <v>29</v>
      </c>
      <c r="X12">
        <v>0.89999999999999925</v>
      </c>
      <c r="Y12" t="s">
        <v>31</v>
      </c>
      <c r="Z12">
        <v>1E-3</v>
      </c>
      <c r="AA12" t="s">
        <v>29</v>
      </c>
      <c r="AB12">
        <v>0.9</v>
      </c>
    </row>
    <row r="13" spans="1:29">
      <c r="A13" t="s">
        <v>74</v>
      </c>
      <c r="C13">
        <v>11</v>
      </c>
      <c r="D13" s="3" t="s">
        <v>75</v>
      </c>
      <c r="E13" t="s">
        <v>76</v>
      </c>
      <c r="F13" t="s">
        <v>39</v>
      </c>
      <c r="G13" t="s">
        <v>19</v>
      </c>
      <c r="H13" t="s">
        <v>20</v>
      </c>
      <c r="I13">
        <v>10</v>
      </c>
      <c r="J13" t="s">
        <v>77</v>
      </c>
      <c r="K13" t="s">
        <v>22</v>
      </c>
      <c r="L13" t="s">
        <v>42</v>
      </c>
      <c r="M13" t="s">
        <v>24</v>
      </c>
      <c r="N13" t="s">
        <v>43</v>
      </c>
      <c r="O13" t="s">
        <v>26</v>
      </c>
      <c r="P13" t="s">
        <v>27</v>
      </c>
      <c r="Q13" t="s">
        <v>28</v>
      </c>
      <c r="R13">
        <v>1</v>
      </c>
      <c r="S13" t="s">
        <v>29</v>
      </c>
      <c r="T13">
        <v>100</v>
      </c>
      <c r="U13" t="s">
        <v>30</v>
      </c>
      <c r="V13">
        <v>4.9325513008385835E-4</v>
      </c>
      <c r="W13" t="s">
        <v>29</v>
      </c>
      <c r="X13">
        <v>0.90000000000000036</v>
      </c>
      <c r="Y13" t="s">
        <v>31</v>
      </c>
      <c r="Z13">
        <v>1E-3</v>
      </c>
      <c r="AA13" t="s">
        <v>29</v>
      </c>
      <c r="AB13">
        <v>0.9</v>
      </c>
    </row>
    <row r="14" spans="1:29">
      <c r="A14" t="s">
        <v>15</v>
      </c>
      <c r="B14">
        <v>0</v>
      </c>
      <c r="C14">
        <v>12</v>
      </c>
      <c r="D14" s="3" t="s">
        <v>78</v>
      </c>
      <c r="E14" t="s">
        <v>79</v>
      </c>
      <c r="F14" t="s">
        <v>39</v>
      </c>
      <c r="G14" t="s">
        <v>19</v>
      </c>
      <c r="H14" t="s">
        <v>20</v>
      </c>
      <c r="I14">
        <v>500</v>
      </c>
      <c r="J14" t="s">
        <v>80</v>
      </c>
      <c r="K14" t="s">
        <v>22</v>
      </c>
      <c r="L14" t="s">
        <v>81</v>
      </c>
      <c r="M14" t="s">
        <v>24</v>
      </c>
      <c r="N14" t="s">
        <v>82</v>
      </c>
      <c r="O14" t="s">
        <v>26</v>
      </c>
      <c r="P14" t="s">
        <v>27</v>
      </c>
      <c r="Q14" t="s">
        <v>28</v>
      </c>
      <c r="R14">
        <v>50</v>
      </c>
      <c r="S14" t="s">
        <v>29</v>
      </c>
      <c r="T14">
        <v>5000</v>
      </c>
      <c r="U14" t="s">
        <v>30</v>
      </c>
      <c r="V14">
        <v>4.9325513008380284E-4</v>
      </c>
      <c r="W14" t="s">
        <v>29</v>
      </c>
      <c r="X14">
        <v>0.89999999999999969</v>
      </c>
      <c r="Y14" t="s">
        <v>31</v>
      </c>
      <c r="Z14">
        <v>1E-3</v>
      </c>
      <c r="AA14" t="s">
        <v>29</v>
      </c>
      <c r="AB14">
        <v>0.9</v>
      </c>
    </row>
    <row r="15" spans="1:29">
      <c r="A15" t="s">
        <v>15</v>
      </c>
      <c r="B15">
        <v>1</v>
      </c>
      <c r="C15">
        <v>13</v>
      </c>
      <c r="D15" s="3" t="s">
        <v>83</v>
      </c>
      <c r="E15" t="s">
        <v>84</v>
      </c>
      <c r="F15" t="s">
        <v>39</v>
      </c>
      <c r="G15" t="s">
        <v>19</v>
      </c>
      <c r="H15" t="s">
        <v>20</v>
      </c>
      <c r="I15">
        <v>0.5</v>
      </c>
      <c r="J15" t="s">
        <v>85</v>
      </c>
      <c r="K15" t="s">
        <v>22</v>
      </c>
      <c r="L15" t="s">
        <v>47</v>
      </c>
      <c r="M15" t="s">
        <v>24</v>
      </c>
      <c r="N15" t="s">
        <v>48</v>
      </c>
      <c r="O15" t="s">
        <v>26</v>
      </c>
      <c r="P15" t="s">
        <v>27</v>
      </c>
      <c r="Q15" t="s">
        <v>28</v>
      </c>
      <c r="R15">
        <v>0.05</v>
      </c>
      <c r="S15" t="s">
        <v>29</v>
      </c>
      <c r="T15">
        <v>5</v>
      </c>
      <c r="U15" t="s">
        <v>30</v>
      </c>
      <c r="V15">
        <v>4.9325513008385835E-4</v>
      </c>
      <c r="W15" t="s">
        <v>29</v>
      </c>
      <c r="X15">
        <v>0.9</v>
      </c>
      <c r="Y15" t="s">
        <v>31</v>
      </c>
      <c r="Z15">
        <v>1E-3</v>
      </c>
      <c r="AA15" t="s">
        <v>29</v>
      </c>
      <c r="AB15">
        <v>0.9</v>
      </c>
    </row>
    <row r="16" spans="1:29">
      <c r="A16" t="s">
        <v>15</v>
      </c>
      <c r="B16">
        <v>2</v>
      </c>
      <c r="C16">
        <v>14</v>
      </c>
      <c r="D16" s="3" t="s">
        <v>86</v>
      </c>
      <c r="E16" t="s">
        <v>79</v>
      </c>
      <c r="F16" t="s">
        <v>39</v>
      </c>
      <c r="G16" t="s">
        <v>19</v>
      </c>
      <c r="H16" t="s">
        <v>20</v>
      </c>
      <c r="I16">
        <v>25</v>
      </c>
      <c r="J16" t="s">
        <v>87</v>
      </c>
      <c r="K16" t="s">
        <v>22</v>
      </c>
      <c r="L16" t="s">
        <v>88</v>
      </c>
      <c r="M16" t="s">
        <v>24</v>
      </c>
      <c r="N16" t="s">
        <v>89</v>
      </c>
      <c r="O16" t="s">
        <v>26</v>
      </c>
      <c r="P16" t="s">
        <v>27</v>
      </c>
      <c r="Q16" t="s">
        <v>28</v>
      </c>
      <c r="R16">
        <v>2.5</v>
      </c>
      <c r="S16" t="s">
        <v>29</v>
      </c>
      <c r="T16">
        <v>250</v>
      </c>
      <c r="U16" t="s">
        <v>30</v>
      </c>
      <c r="V16">
        <v>4.9325513008380284E-4</v>
      </c>
      <c r="W16" t="s">
        <v>29</v>
      </c>
      <c r="X16">
        <v>0.89999999999999925</v>
      </c>
      <c r="Y16" t="s">
        <v>31</v>
      </c>
      <c r="Z16">
        <v>1E-3</v>
      </c>
      <c r="AA16" t="s">
        <v>29</v>
      </c>
      <c r="AB16">
        <v>0.9</v>
      </c>
    </row>
    <row r="17" spans="1:28">
      <c r="A17" t="s">
        <v>15</v>
      </c>
      <c r="B17">
        <v>3</v>
      </c>
      <c r="C17">
        <v>15</v>
      </c>
      <c r="D17" s="3" t="s">
        <v>90</v>
      </c>
      <c r="E17" t="s">
        <v>84</v>
      </c>
      <c r="F17" t="s">
        <v>39</v>
      </c>
      <c r="G17" t="s">
        <v>91</v>
      </c>
      <c r="H17" t="s">
        <v>20</v>
      </c>
      <c r="I17">
        <v>0.2</v>
      </c>
      <c r="J17" t="s">
        <v>92</v>
      </c>
      <c r="K17" t="s">
        <v>22</v>
      </c>
      <c r="L17" t="s">
        <v>93</v>
      </c>
      <c r="M17" t="s">
        <v>24</v>
      </c>
      <c r="N17" t="s">
        <v>94</v>
      </c>
      <c r="O17" t="s">
        <v>26</v>
      </c>
      <c r="P17" t="s">
        <v>27</v>
      </c>
      <c r="Q17" t="s">
        <v>28</v>
      </c>
      <c r="R17">
        <v>0.02</v>
      </c>
      <c r="S17" t="s">
        <v>29</v>
      </c>
      <c r="T17">
        <v>2</v>
      </c>
      <c r="U17" t="s">
        <v>30</v>
      </c>
      <c r="V17">
        <v>4.9325513008385835E-4</v>
      </c>
      <c r="W17" t="s">
        <v>29</v>
      </c>
      <c r="X17">
        <v>0.9</v>
      </c>
      <c r="Y17" t="s">
        <v>31</v>
      </c>
      <c r="Z17">
        <v>1E-3</v>
      </c>
      <c r="AA17" t="s">
        <v>29</v>
      </c>
      <c r="AB17">
        <v>0.9</v>
      </c>
    </row>
    <row r="18" spans="1:28">
      <c r="A18" t="s">
        <v>15</v>
      </c>
      <c r="B18">
        <v>4</v>
      </c>
      <c r="C18">
        <v>16</v>
      </c>
      <c r="D18" s="4" t="s">
        <v>95</v>
      </c>
      <c r="E18" t="s">
        <v>96</v>
      </c>
      <c r="F18" t="s">
        <v>39</v>
      </c>
      <c r="G18" t="s">
        <v>19</v>
      </c>
      <c r="H18" t="s">
        <v>20</v>
      </c>
      <c r="I18">
        <v>0.2</v>
      </c>
      <c r="J18" t="s">
        <v>97</v>
      </c>
      <c r="K18" t="s">
        <v>22</v>
      </c>
      <c r="L18" t="s">
        <v>93</v>
      </c>
      <c r="M18" t="s">
        <v>24</v>
      </c>
      <c r="N18" t="s">
        <v>94</v>
      </c>
      <c r="O18" t="s">
        <v>26</v>
      </c>
      <c r="P18" t="s">
        <v>27</v>
      </c>
      <c r="Q18" t="s">
        <v>28</v>
      </c>
      <c r="R18">
        <v>0.02</v>
      </c>
      <c r="S18" t="s">
        <v>29</v>
      </c>
      <c r="T18">
        <v>2</v>
      </c>
      <c r="U18" t="s">
        <v>30</v>
      </c>
      <c r="V18">
        <v>4.9325513008385835E-4</v>
      </c>
      <c r="W18" t="s">
        <v>29</v>
      </c>
      <c r="X18">
        <v>0.9</v>
      </c>
      <c r="Y18" t="s">
        <v>31</v>
      </c>
      <c r="Z18">
        <v>1E-3</v>
      </c>
      <c r="AA18" t="s">
        <v>29</v>
      </c>
      <c r="AB18">
        <v>0.9</v>
      </c>
    </row>
    <row r="19" spans="1:28">
      <c r="A19" t="s">
        <v>15</v>
      </c>
      <c r="B19">
        <v>0</v>
      </c>
      <c r="C19">
        <v>17</v>
      </c>
      <c r="D19" s="3" t="s">
        <v>98</v>
      </c>
      <c r="E19" t="s">
        <v>99</v>
      </c>
      <c r="F19" t="s">
        <v>39</v>
      </c>
      <c r="G19" t="s">
        <v>19</v>
      </c>
      <c r="H19" t="s">
        <v>20</v>
      </c>
      <c r="I19">
        <v>1</v>
      </c>
      <c r="J19" t="s">
        <v>100</v>
      </c>
      <c r="K19" t="s">
        <v>22</v>
      </c>
      <c r="L19" t="s">
        <v>23</v>
      </c>
      <c r="M19" t="s">
        <v>24</v>
      </c>
      <c r="N19" t="s">
        <v>25</v>
      </c>
      <c r="O19" t="s">
        <v>26</v>
      </c>
      <c r="P19" t="s">
        <v>27</v>
      </c>
      <c r="Q19" t="s">
        <v>28</v>
      </c>
      <c r="R19">
        <v>0.1</v>
      </c>
      <c r="S19" t="s">
        <v>29</v>
      </c>
      <c r="T19">
        <v>10</v>
      </c>
      <c r="U19" t="s">
        <v>30</v>
      </c>
      <c r="V19">
        <v>1.4995067448699162</v>
      </c>
      <c r="W19" t="s">
        <v>29</v>
      </c>
      <c r="X19">
        <v>0.89999999999999925</v>
      </c>
      <c r="Y19" t="s">
        <v>31</v>
      </c>
      <c r="Z19">
        <v>1.5</v>
      </c>
      <c r="AA19" t="s">
        <v>29</v>
      </c>
      <c r="AB19">
        <v>0.9</v>
      </c>
    </row>
    <row r="20" spans="1:28">
      <c r="A20" t="s">
        <v>15</v>
      </c>
      <c r="B20">
        <v>1</v>
      </c>
      <c r="C20">
        <v>18</v>
      </c>
      <c r="D20" s="3" t="s">
        <v>101</v>
      </c>
      <c r="E20" t="s">
        <v>99</v>
      </c>
      <c r="F20" t="s">
        <v>39</v>
      </c>
      <c r="G20" t="s">
        <v>19</v>
      </c>
      <c r="H20" t="s">
        <v>20</v>
      </c>
      <c r="I20">
        <v>0.1</v>
      </c>
      <c r="J20" t="s">
        <v>102</v>
      </c>
      <c r="K20" t="s">
        <v>22</v>
      </c>
      <c r="L20" t="s">
        <v>23</v>
      </c>
      <c r="M20" t="s">
        <v>24</v>
      </c>
      <c r="N20" t="s">
        <v>25</v>
      </c>
      <c r="O20" t="s">
        <v>26</v>
      </c>
      <c r="P20" t="s">
        <v>27</v>
      </c>
      <c r="Q20" t="s">
        <v>28</v>
      </c>
      <c r="R20">
        <v>0.1</v>
      </c>
      <c r="S20" t="s">
        <v>29</v>
      </c>
      <c r="T20">
        <v>10</v>
      </c>
      <c r="U20" t="s">
        <v>30</v>
      </c>
      <c r="V20">
        <v>1.4995067448699162</v>
      </c>
      <c r="W20" t="s">
        <v>29</v>
      </c>
      <c r="X20">
        <v>0.89999999999999925</v>
      </c>
      <c r="Y20" t="s">
        <v>31</v>
      </c>
      <c r="Z20">
        <v>1.5</v>
      </c>
      <c r="AA20" t="s">
        <v>29</v>
      </c>
      <c r="AB20">
        <v>0.9</v>
      </c>
    </row>
    <row r="21" spans="1:28">
      <c r="A21" t="s">
        <v>15</v>
      </c>
      <c r="B21">
        <v>2</v>
      </c>
      <c r="C21">
        <v>19</v>
      </c>
      <c r="D21" s="3" t="s">
        <v>103</v>
      </c>
      <c r="E21" t="s">
        <v>104</v>
      </c>
      <c r="F21" t="s">
        <v>39</v>
      </c>
      <c r="G21" t="s">
        <v>19</v>
      </c>
      <c r="H21" t="s">
        <v>20</v>
      </c>
      <c r="I21">
        <v>0.01</v>
      </c>
      <c r="J21" t="s">
        <v>105</v>
      </c>
      <c r="K21" t="s">
        <v>22</v>
      </c>
      <c r="L21" t="s">
        <v>60</v>
      </c>
      <c r="M21" t="s">
        <v>24</v>
      </c>
      <c r="N21" t="s">
        <v>61</v>
      </c>
      <c r="O21" t="s">
        <v>26</v>
      </c>
      <c r="P21" t="s">
        <v>27</v>
      </c>
      <c r="Q21" t="s">
        <v>28</v>
      </c>
      <c r="R21">
        <v>1E-3</v>
      </c>
      <c r="S21" t="s">
        <v>29</v>
      </c>
      <c r="T21">
        <v>0.1</v>
      </c>
      <c r="U21" t="s">
        <v>30</v>
      </c>
      <c r="V21">
        <v>1.4995067448699162</v>
      </c>
      <c r="W21" t="s">
        <v>29</v>
      </c>
      <c r="X21">
        <v>0.9000000000000008</v>
      </c>
      <c r="Y21" t="s">
        <v>31</v>
      </c>
      <c r="Z21">
        <v>1.5</v>
      </c>
      <c r="AA21" t="s">
        <v>29</v>
      </c>
      <c r="AB21">
        <v>0.9</v>
      </c>
    </row>
    <row r="22" spans="1:28">
      <c r="A22" t="s">
        <v>15</v>
      </c>
      <c r="B22">
        <v>3</v>
      </c>
      <c r="C22">
        <v>20</v>
      </c>
      <c r="D22" s="3" t="s">
        <v>106</v>
      </c>
      <c r="E22" t="s">
        <v>107</v>
      </c>
      <c r="F22" t="s">
        <v>39</v>
      </c>
      <c r="G22" t="s">
        <v>19</v>
      </c>
      <c r="H22" t="s">
        <v>20</v>
      </c>
      <c r="I22">
        <v>50</v>
      </c>
      <c r="J22" t="s">
        <v>108</v>
      </c>
      <c r="K22" t="s">
        <v>22</v>
      </c>
      <c r="L22" t="s">
        <v>109</v>
      </c>
      <c r="M22" t="s">
        <v>24</v>
      </c>
      <c r="N22" t="s">
        <v>110</v>
      </c>
      <c r="O22" t="s">
        <v>26</v>
      </c>
      <c r="P22" t="s">
        <v>27</v>
      </c>
      <c r="Q22" t="s">
        <v>28</v>
      </c>
      <c r="R22">
        <v>5</v>
      </c>
      <c r="S22" t="s">
        <v>29</v>
      </c>
      <c r="T22">
        <v>100</v>
      </c>
      <c r="U22" t="s">
        <v>30</v>
      </c>
      <c r="V22">
        <v>1.4995067448699162</v>
      </c>
      <c r="W22" t="s">
        <v>29</v>
      </c>
      <c r="X22">
        <v>0.3753729590848735</v>
      </c>
      <c r="Y22" t="s">
        <v>31</v>
      </c>
      <c r="Z22">
        <v>1.5</v>
      </c>
      <c r="AA22" t="s">
        <v>29</v>
      </c>
      <c r="AB22">
        <v>0.375</v>
      </c>
    </row>
    <row r="23" spans="1:28">
      <c r="A23" t="s">
        <v>15</v>
      </c>
      <c r="B23">
        <v>4</v>
      </c>
      <c r="C23">
        <v>21</v>
      </c>
      <c r="D23" s="3" t="s">
        <v>111</v>
      </c>
      <c r="E23" t="s">
        <v>107</v>
      </c>
      <c r="F23" t="s">
        <v>39</v>
      </c>
      <c r="G23" t="s">
        <v>19</v>
      </c>
      <c r="H23" t="s">
        <v>20</v>
      </c>
      <c r="I23">
        <v>25</v>
      </c>
      <c r="J23" t="s">
        <v>112</v>
      </c>
      <c r="K23" t="s">
        <v>22</v>
      </c>
      <c r="L23" t="s">
        <v>113</v>
      </c>
      <c r="M23" t="s">
        <v>24</v>
      </c>
      <c r="N23" t="s">
        <v>89</v>
      </c>
      <c r="O23" t="s">
        <v>26</v>
      </c>
      <c r="P23" t="s">
        <v>27</v>
      </c>
      <c r="Q23" t="s">
        <v>28</v>
      </c>
      <c r="R23">
        <v>2.5</v>
      </c>
      <c r="S23" t="s">
        <v>29</v>
      </c>
      <c r="T23">
        <v>100</v>
      </c>
      <c r="U23" t="s">
        <v>30</v>
      </c>
      <c r="V23">
        <v>1.4995067448699162</v>
      </c>
      <c r="W23" t="s">
        <v>29</v>
      </c>
      <c r="X23">
        <v>0.64471297441995434</v>
      </c>
      <c r="Y23" t="s">
        <v>31</v>
      </c>
      <c r="Z23">
        <v>1.5</v>
      </c>
      <c r="AA23" t="s">
        <v>29</v>
      </c>
      <c r="AB23">
        <v>0.64500000000000002</v>
      </c>
    </row>
    <row r="24" spans="1:28">
      <c r="A24" t="s">
        <v>15</v>
      </c>
      <c r="B24">
        <v>5</v>
      </c>
      <c r="C24">
        <v>22</v>
      </c>
      <c r="D24" s="3" t="s">
        <v>114</v>
      </c>
      <c r="E24" t="s">
        <v>107</v>
      </c>
      <c r="F24" t="s">
        <v>39</v>
      </c>
      <c r="G24" t="s">
        <v>19</v>
      </c>
      <c r="H24" t="s">
        <v>20</v>
      </c>
      <c r="I24">
        <v>2</v>
      </c>
      <c r="J24" t="s">
        <v>115</v>
      </c>
      <c r="K24" t="s">
        <v>22</v>
      </c>
      <c r="L24" t="s">
        <v>35</v>
      </c>
      <c r="M24" t="s">
        <v>24</v>
      </c>
      <c r="N24" t="s">
        <v>36</v>
      </c>
      <c r="O24" t="s">
        <v>26</v>
      </c>
      <c r="P24" t="s">
        <v>27</v>
      </c>
      <c r="Q24" t="s">
        <v>28</v>
      </c>
      <c r="R24">
        <v>0.2</v>
      </c>
      <c r="S24" t="s">
        <v>29</v>
      </c>
      <c r="T24">
        <v>20</v>
      </c>
      <c r="U24" t="s">
        <v>30</v>
      </c>
      <c r="V24">
        <v>1.4995067448699162</v>
      </c>
      <c r="W24" t="s">
        <v>29</v>
      </c>
      <c r="X24">
        <v>0.90000000000000013</v>
      </c>
      <c r="Y24" t="s">
        <v>31</v>
      </c>
      <c r="Z24">
        <v>1.5</v>
      </c>
      <c r="AA24" t="s">
        <v>29</v>
      </c>
      <c r="AB24">
        <v>0.9</v>
      </c>
    </row>
    <row r="25" spans="1:28">
      <c r="A25" t="s">
        <v>15</v>
      </c>
      <c r="B25">
        <v>6</v>
      </c>
      <c r="C25">
        <v>23</v>
      </c>
      <c r="D25" s="3" t="s">
        <v>116</v>
      </c>
      <c r="E25" t="s">
        <v>107</v>
      </c>
      <c r="F25" t="s">
        <v>39</v>
      </c>
      <c r="G25" t="s">
        <v>19</v>
      </c>
      <c r="H25" t="s">
        <v>20</v>
      </c>
      <c r="I25">
        <v>10</v>
      </c>
      <c r="J25" t="s">
        <v>117</v>
      </c>
      <c r="K25" t="s">
        <v>22</v>
      </c>
      <c r="L25" t="s">
        <v>42</v>
      </c>
      <c r="M25" t="s">
        <v>24</v>
      </c>
      <c r="N25" t="s">
        <v>43</v>
      </c>
      <c r="O25" t="s">
        <v>26</v>
      </c>
      <c r="P25" t="s">
        <v>27</v>
      </c>
      <c r="Q25" t="s">
        <v>28</v>
      </c>
      <c r="R25">
        <v>1</v>
      </c>
      <c r="S25" t="s">
        <v>29</v>
      </c>
      <c r="T25">
        <v>100</v>
      </c>
      <c r="U25" t="s">
        <v>30</v>
      </c>
      <c r="V25">
        <v>1.4995067448699162</v>
      </c>
      <c r="W25" t="s">
        <v>29</v>
      </c>
      <c r="X25">
        <v>0.90000000000000036</v>
      </c>
      <c r="Y25" t="s">
        <v>31</v>
      </c>
      <c r="Z25">
        <v>1.5</v>
      </c>
      <c r="AA25" t="s">
        <v>29</v>
      </c>
      <c r="AB25">
        <v>0.9</v>
      </c>
    </row>
    <row r="26" spans="1:28">
      <c r="A26" t="s">
        <v>15</v>
      </c>
      <c r="B26">
        <v>7</v>
      </c>
      <c r="C26">
        <v>24</v>
      </c>
      <c r="D26" s="3" t="s">
        <v>118</v>
      </c>
      <c r="E26" t="s">
        <v>107</v>
      </c>
      <c r="F26" t="s">
        <v>39</v>
      </c>
      <c r="G26" t="s">
        <v>19</v>
      </c>
      <c r="H26" t="s">
        <v>20</v>
      </c>
      <c r="I26">
        <v>5</v>
      </c>
      <c r="J26" t="s">
        <v>119</v>
      </c>
      <c r="K26" t="s">
        <v>22</v>
      </c>
      <c r="L26" t="s">
        <v>55</v>
      </c>
      <c r="M26" t="s">
        <v>24</v>
      </c>
      <c r="N26" t="s">
        <v>56</v>
      </c>
      <c r="O26" t="s">
        <v>26</v>
      </c>
      <c r="P26" t="s">
        <v>27</v>
      </c>
      <c r="Q26" t="s">
        <v>28</v>
      </c>
      <c r="R26">
        <v>0.5</v>
      </c>
      <c r="S26" t="s">
        <v>29</v>
      </c>
      <c r="T26">
        <v>50</v>
      </c>
      <c r="U26" t="s">
        <v>30</v>
      </c>
      <c r="V26">
        <v>1.4995067448699162</v>
      </c>
      <c r="W26" t="s">
        <v>29</v>
      </c>
      <c r="X26">
        <v>0.89999999999999925</v>
      </c>
      <c r="Y26" t="s">
        <v>31</v>
      </c>
      <c r="Z26">
        <v>1.5</v>
      </c>
      <c r="AA26" t="s">
        <v>29</v>
      </c>
      <c r="AB26">
        <v>0.9</v>
      </c>
    </row>
    <row r="27" spans="1:28">
      <c r="A27" t="s">
        <v>15</v>
      </c>
      <c r="B27">
        <v>8</v>
      </c>
      <c r="C27">
        <v>25</v>
      </c>
      <c r="D27" s="3" t="s">
        <v>120</v>
      </c>
      <c r="E27" t="s">
        <v>121</v>
      </c>
      <c r="F27" t="s">
        <v>39</v>
      </c>
      <c r="G27" t="s">
        <v>19</v>
      </c>
      <c r="H27" t="s">
        <v>20</v>
      </c>
      <c r="I27">
        <v>1</v>
      </c>
      <c r="J27" t="s">
        <v>122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>
        <v>0.1</v>
      </c>
      <c r="S27" t="s">
        <v>29</v>
      </c>
      <c r="T27">
        <v>10</v>
      </c>
      <c r="U27" t="s">
        <v>30</v>
      </c>
      <c r="V27">
        <v>1.4995067448699162</v>
      </c>
      <c r="W27" t="s">
        <v>29</v>
      </c>
      <c r="X27">
        <v>0.89999999999999925</v>
      </c>
      <c r="Y27" t="s">
        <v>31</v>
      </c>
      <c r="Z27">
        <v>1.5</v>
      </c>
      <c r="AA27" t="s">
        <v>29</v>
      </c>
      <c r="AB27">
        <v>0.9</v>
      </c>
    </row>
    <row r="28" spans="1:28">
      <c r="A28" t="s">
        <v>15</v>
      </c>
      <c r="B28">
        <v>9</v>
      </c>
      <c r="C28">
        <v>26</v>
      </c>
      <c r="D28" s="3" t="s">
        <v>123</v>
      </c>
      <c r="E28" t="s">
        <v>121</v>
      </c>
      <c r="F28" t="s">
        <v>39</v>
      </c>
      <c r="G28" t="s">
        <v>19</v>
      </c>
      <c r="H28" t="s">
        <v>20</v>
      </c>
      <c r="I28">
        <v>0.1</v>
      </c>
      <c r="J28" t="s">
        <v>124</v>
      </c>
      <c r="K28" t="s">
        <v>22</v>
      </c>
      <c r="L28" t="s">
        <v>23</v>
      </c>
      <c r="M28" t="s">
        <v>24</v>
      </c>
      <c r="N28" t="s">
        <v>25</v>
      </c>
      <c r="O28" t="s">
        <v>26</v>
      </c>
      <c r="P28" t="s">
        <v>27</v>
      </c>
      <c r="Q28" t="s">
        <v>28</v>
      </c>
      <c r="R28">
        <v>0.1</v>
      </c>
      <c r="S28" t="s">
        <v>29</v>
      </c>
      <c r="T28">
        <v>10</v>
      </c>
      <c r="U28" t="s">
        <v>30</v>
      </c>
      <c r="V28">
        <v>1.4995067448699162</v>
      </c>
      <c r="W28" t="s">
        <v>29</v>
      </c>
      <c r="X28">
        <v>0.89999999999999925</v>
      </c>
      <c r="Y28" t="s">
        <v>31</v>
      </c>
      <c r="Z28">
        <v>1.5</v>
      </c>
      <c r="AA28" t="s">
        <v>29</v>
      </c>
      <c r="AB28">
        <v>0.9</v>
      </c>
    </row>
    <row r="29" spans="1:28">
      <c r="A29" t="s">
        <v>15</v>
      </c>
      <c r="B29">
        <v>10</v>
      </c>
      <c r="C29">
        <v>27</v>
      </c>
      <c r="D29" s="3" t="s">
        <v>125</v>
      </c>
      <c r="E29" t="s">
        <v>126</v>
      </c>
      <c r="F29" t="s">
        <v>39</v>
      </c>
      <c r="G29" t="s">
        <v>19</v>
      </c>
      <c r="H29" t="s">
        <v>20</v>
      </c>
      <c r="I29">
        <v>25</v>
      </c>
      <c r="J29" t="s">
        <v>127</v>
      </c>
      <c r="K29" t="s">
        <v>22</v>
      </c>
      <c r="L29" t="s">
        <v>113</v>
      </c>
      <c r="M29" t="s">
        <v>24</v>
      </c>
      <c r="N29" t="s">
        <v>89</v>
      </c>
      <c r="O29" t="s">
        <v>26</v>
      </c>
      <c r="P29" t="s">
        <v>27</v>
      </c>
      <c r="Q29" t="s">
        <v>28</v>
      </c>
      <c r="R29">
        <v>2.5</v>
      </c>
      <c r="S29" t="s">
        <v>29</v>
      </c>
      <c r="T29">
        <v>100</v>
      </c>
      <c r="U29" t="s">
        <v>30</v>
      </c>
      <c r="V29">
        <v>1.4995067448699162</v>
      </c>
      <c r="W29" t="s">
        <v>29</v>
      </c>
      <c r="X29">
        <v>0.64471297441995434</v>
      </c>
      <c r="Y29" t="s">
        <v>31</v>
      </c>
      <c r="Z29">
        <v>1.5</v>
      </c>
      <c r="AA29" t="s">
        <v>29</v>
      </c>
      <c r="AB29">
        <v>0.64500000000000002</v>
      </c>
    </row>
    <row r="30" spans="1:28">
      <c r="A30" t="s">
        <v>15</v>
      </c>
      <c r="B30">
        <v>11</v>
      </c>
      <c r="C30">
        <v>28</v>
      </c>
      <c r="D30" s="3" t="s">
        <v>128</v>
      </c>
      <c r="E30" t="s">
        <v>126</v>
      </c>
      <c r="F30" t="s">
        <v>39</v>
      </c>
      <c r="G30" t="s">
        <v>19</v>
      </c>
      <c r="H30" t="s">
        <v>20</v>
      </c>
      <c r="I30">
        <v>2</v>
      </c>
      <c r="J30" t="s">
        <v>129</v>
      </c>
      <c r="K30" t="s">
        <v>22</v>
      </c>
      <c r="L30" t="s">
        <v>35</v>
      </c>
      <c r="M30" t="s">
        <v>24</v>
      </c>
      <c r="N30" t="s">
        <v>36</v>
      </c>
      <c r="O30" t="s">
        <v>26</v>
      </c>
      <c r="P30" t="s">
        <v>27</v>
      </c>
      <c r="Q30" t="s">
        <v>28</v>
      </c>
      <c r="R30">
        <v>0.2</v>
      </c>
      <c r="S30" t="s">
        <v>29</v>
      </c>
      <c r="T30">
        <v>20</v>
      </c>
      <c r="U30" t="s">
        <v>30</v>
      </c>
      <c r="V30">
        <v>1.4995067448699162</v>
      </c>
      <c r="W30" t="s">
        <v>29</v>
      </c>
      <c r="X30">
        <v>0.90000000000000013</v>
      </c>
      <c r="Y30" t="s">
        <v>31</v>
      </c>
      <c r="Z30">
        <v>1.5</v>
      </c>
      <c r="AA30" t="s">
        <v>29</v>
      </c>
      <c r="AB30">
        <v>0.9</v>
      </c>
    </row>
    <row r="31" spans="1:28">
      <c r="A31" t="s">
        <v>15</v>
      </c>
      <c r="B31">
        <v>12</v>
      </c>
      <c r="C31">
        <v>29</v>
      </c>
      <c r="D31" s="3" t="s">
        <v>130</v>
      </c>
      <c r="E31" t="s">
        <v>131</v>
      </c>
      <c r="F31" t="s">
        <v>39</v>
      </c>
      <c r="G31" t="s">
        <v>19</v>
      </c>
      <c r="H31" t="s">
        <v>20</v>
      </c>
      <c r="I31">
        <v>1</v>
      </c>
      <c r="J31" t="s">
        <v>132</v>
      </c>
      <c r="K31" t="s">
        <v>22</v>
      </c>
      <c r="L31" t="s">
        <v>23</v>
      </c>
      <c r="M31" t="s">
        <v>24</v>
      </c>
      <c r="N31" t="s">
        <v>25</v>
      </c>
      <c r="O31" t="s">
        <v>26</v>
      </c>
      <c r="P31" t="s">
        <v>27</v>
      </c>
      <c r="Q31" t="s">
        <v>28</v>
      </c>
      <c r="R31">
        <v>0.1</v>
      </c>
      <c r="S31" t="s">
        <v>29</v>
      </c>
      <c r="T31">
        <v>10</v>
      </c>
      <c r="U31" t="s">
        <v>30</v>
      </c>
      <c r="V31">
        <v>1.4995067448699162</v>
      </c>
      <c r="W31" t="s">
        <v>29</v>
      </c>
      <c r="X31">
        <v>0.89999999999999925</v>
      </c>
      <c r="Y31" t="s">
        <v>31</v>
      </c>
      <c r="Z31">
        <v>1.5</v>
      </c>
      <c r="AA31" t="s">
        <v>29</v>
      </c>
      <c r="AB31">
        <v>0.9</v>
      </c>
    </row>
    <row r="32" spans="1:28">
      <c r="A32" t="s">
        <v>15</v>
      </c>
      <c r="B32">
        <v>13</v>
      </c>
      <c r="C32">
        <v>30</v>
      </c>
      <c r="D32" s="3" t="s">
        <v>133</v>
      </c>
      <c r="E32" t="s">
        <v>131</v>
      </c>
      <c r="F32" t="s">
        <v>39</v>
      </c>
      <c r="G32" t="s">
        <v>19</v>
      </c>
      <c r="H32" t="s">
        <v>20</v>
      </c>
      <c r="I32">
        <v>0.1</v>
      </c>
      <c r="J32" t="s">
        <v>134</v>
      </c>
      <c r="K32" t="s">
        <v>22</v>
      </c>
      <c r="L32" t="s">
        <v>23</v>
      </c>
      <c r="M32" t="s">
        <v>24</v>
      </c>
      <c r="N32" t="s">
        <v>25</v>
      </c>
      <c r="O32" t="s">
        <v>26</v>
      </c>
      <c r="P32" t="s">
        <v>27</v>
      </c>
      <c r="Q32" t="s">
        <v>28</v>
      </c>
      <c r="R32">
        <v>0.1</v>
      </c>
      <c r="S32" t="s">
        <v>29</v>
      </c>
      <c r="T32">
        <v>10</v>
      </c>
      <c r="U32" t="s">
        <v>30</v>
      </c>
      <c r="V32">
        <v>1.4995067448699162</v>
      </c>
      <c r="W32" t="s">
        <v>29</v>
      </c>
      <c r="X32">
        <v>0.89999999999999925</v>
      </c>
      <c r="Y32" t="s">
        <v>31</v>
      </c>
      <c r="Z32">
        <v>1.5</v>
      </c>
      <c r="AA32" t="s">
        <v>29</v>
      </c>
      <c r="AB32">
        <v>0.9</v>
      </c>
    </row>
    <row r="33" spans="1:29">
      <c r="A33" t="s">
        <v>15</v>
      </c>
      <c r="B33">
        <v>14</v>
      </c>
      <c r="C33">
        <v>31</v>
      </c>
      <c r="D33" s="3" t="s">
        <v>135</v>
      </c>
      <c r="E33" t="s">
        <v>136</v>
      </c>
      <c r="F33" t="s">
        <v>39</v>
      </c>
      <c r="G33" t="s">
        <v>19</v>
      </c>
      <c r="H33" t="s">
        <v>20</v>
      </c>
      <c r="I33">
        <v>50</v>
      </c>
      <c r="J33" t="s">
        <v>137</v>
      </c>
      <c r="K33" t="s">
        <v>22</v>
      </c>
      <c r="L33" t="s">
        <v>109</v>
      </c>
      <c r="M33" t="s">
        <v>24</v>
      </c>
      <c r="N33" t="s">
        <v>110</v>
      </c>
      <c r="O33" t="s">
        <v>26</v>
      </c>
      <c r="P33" t="s">
        <v>27</v>
      </c>
      <c r="Q33" t="s">
        <v>28</v>
      </c>
      <c r="R33">
        <v>5</v>
      </c>
      <c r="S33" t="s">
        <v>29</v>
      </c>
      <c r="T33">
        <v>100</v>
      </c>
      <c r="U33" t="s">
        <v>30</v>
      </c>
      <c r="V33">
        <v>1.4995067448699162</v>
      </c>
      <c r="W33" t="s">
        <v>29</v>
      </c>
      <c r="X33">
        <v>0.3753729590848735</v>
      </c>
      <c r="Y33" t="s">
        <v>31</v>
      </c>
      <c r="Z33">
        <v>1.5</v>
      </c>
      <c r="AA33" t="s">
        <v>29</v>
      </c>
      <c r="AB33">
        <v>0.375</v>
      </c>
    </row>
    <row r="34" spans="1:29">
      <c r="A34" t="s">
        <v>15</v>
      </c>
      <c r="B34">
        <v>15</v>
      </c>
      <c r="C34">
        <v>32</v>
      </c>
      <c r="D34" s="3" t="s">
        <v>138</v>
      </c>
      <c r="E34" t="s">
        <v>136</v>
      </c>
      <c r="F34" t="s">
        <v>39</v>
      </c>
      <c r="G34" t="s">
        <v>19</v>
      </c>
      <c r="H34" t="s">
        <v>20</v>
      </c>
      <c r="I34">
        <v>5</v>
      </c>
      <c r="J34" t="s">
        <v>139</v>
      </c>
      <c r="K34" t="s">
        <v>22</v>
      </c>
      <c r="L34" t="s">
        <v>55</v>
      </c>
      <c r="M34" t="s">
        <v>24</v>
      </c>
      <c r="N34" t="s">
        <v>56</v>
      </c>
      <c r="O34" t="s">
        <v>26</v>
      </c>
      <c r="P34" t="s">
        <v>27</v>
      </c>
      <c r="Q34" t="s">
        <v>28</v>
      </c>
      <c r="R34">
        <v>0.5</v>
      </c>
      <c r="S34" t="s">
        <v>29</v>
      </c>
      <c r="T34">
        <v>50</v>
      </c>
      <c r="U34" t="s">
        <v>30</v>
      </c>
      <c r="V34">
        <v>1.4995067448699162</v>
      </c>
      <c r="W34" t="s">
        <v>29</v>
      </c>
      <c r="X34">
        <v>0.89999999999999925</v>
      </c>
      <c r="Y34" t="s">
        <v>31</v>
      </c>
      <c r="Z34">
        <v>1.5</v>
      </c>
      <c r="AA34" t="s">
        <v>29</v>
      </c>
      <c r="AB34">
        <v>0.9</v>
      </c>
    </row>
    <row r="35" spans="1:29">
      <c r="A35" t="s">
        <v>15</v>
      </c>
      <c r="B35">
        <v>16</v>
      </c>
      <c r="C35">
        <v>33</v>
      </c>
      <c r="D35" s="3" t="s">
        <v>140</v>
      </c>
      <c r="E35" t="s">
        <v>136</v>
      </c>
      <c r="F35" t="s">
        <v>39</v>
      </c>
      <c r="G35" t="s">
        <v>19</v>
      </c>
      <c r="H35" t="s">
        <v>20</v>
      </c>
      <c r="I35">
        <v>10</v>
      </c>
      <c r="J35" t="s">
        <v>141</v>
      </c>
      <c r="K35" t="s">
        <v>22</v>
      </c>
      <c r="L35" t="s">
        <v>42</v>
      </c>
      <c r="M35" t="s">
        <v>24</v>
      </c>
      <c r="N35" t="s">
        <v>43</v>
      </c>
      <c r="O35" t="s">
        <v>26</v>
      </c>
      <c r="P35" t="s">
        <v>27</v>
      </c>
      <c r="Q35" t="s">
        <v>28</v>
      </c>
      <c r="R35">
        <v>1</v>
      </c>
      <c r="S35" t="s">
        <v>29</v>
      </c>
      <c r="T35">
        <v>100</v>
      </c>
      <c r="U35" t="s">
        <v>30</v>
      </c>
      <c r="V35">
        <v>1.4995067448699162</v>
      </c>
      <c r="W35" t="s">
        <v>29</v>
      </c>
      <c r="X35">
        <v>0.90000000000000036</v>
      </c>
      <c r="Y35" t="s">
        <v>31</v>
      </c>
      <c r="Z35">
        <v>1.5</v>
      </c>
      <c r="AA35" t="s">
        <v>29</v>
      </c>
      <c r="AB35">
        <v>0.9</v>
      </c>
    </row>
    <row r="36" spans="1:29">
      <c r="A36" t="s">
        <v>15</v>
      </c>
      <c r="B36">
        <v>17</v>
      </c>
      <c r="C36">
        <v>34</v>
      </c>
      <c r="D36" s="3" t="s">
        <v>142</v>
      </c>
      <c r="E36" t="s">
        <v>143</v>
      </c>
      <c r="F36" t="s">
        <v>39</v>
      </c>
      <c r="G36" t="s">
        <v>19</v>
      </c>
      <c r="H36" t="s">
        <v>20</v>
      </c>
      <c r="I36">
        <v>12</v>
      </c>
      <c r="J36" t="s">
        <v>144</v>
      </c>
      <c r="K36" t="s">
        <v>22</v>
      </c>
      <c r="L36" t="s">
        <v>145</v>
      </c>
      <c r="M36" t="s">
        <v>146</v>
      </c>
      <c r="Q36" t="s">
        <v>28</v>
      </c>
      <c r="R36">
        <v>1.2</v>
      </c>
      <c r="S36" t="s">
        <v>29</v>
      </c>
      <c r="T36">
        <v>120</v>
      </c>
    </row>
    <row r="37" spans="1:29">
      <c r="A37" t="s">
        <v>15</v>
      </c>
      <c r="B37">
        <v>18</v>
      </c>
      <c r="C37">
        <v>35</v>
      </c>
      <c r="D37" s="4" t="s">
        <v>147</v>
      </c>
      <c r="E37" t="s">
        <v>148</v>
      </c>
      <c r="F37" t="s">
        <v>39</v>
      </c>
      <c r="G37" t="s">
        <v>19</v>
      </c>
      <c r="H37" t="s">
        <v>20</v>
      </c>
      <c r="I37">
        <v>1</v>
      </c>
      <c r="J37" t="s">
        <v>149</v>
      </c>
      <c r="K37" t="s">
        <v>22</v>
      </c>
      <c r="L37" t="s">
        <v>150</v>
      </c>
      <c r="M37" t="s">
        <v>146</v>
      </c>
      <c r="Q37" t="s">
        <v>28</v>
      </c>
      <c r="R37">
        <v>0.1</v>
      </c>
      <c r="S37" t="s">
        <v>29</v>
      </c>
      <c r="T37">
        <v>10</v>
      </c>
    </row>
    <row r="38" spans="1:29">
      <c r="A38" t="s">
        <v>15</v>
      </c>
      <c r="B38">
        <v>0</v>
      </c>
      <c r="C38">
        <v>36</v>
      </c>
      <c r="D38" s="3" t="s">
        <v>151</v>
      </c>
      <c r="E38" t="s">
        <v>152</v>
      </c>
      <c r="F38" t="s">
        <v>39</v>
      </c>
      <c r="G38" t="s">
        <v>19</v>
      </c>
      <c r="H38" t="s">
        <v>20</v>
      </c>
      <c r="I38">
        <v>24</v>
      </c>
      <c r="J38" t="s">
        <v>153</v>
      </c>
      <c r="K38" t="s">
        <v>22</v>
      </c>
      <c r="L38" t="s">
        <v>154</v>
      </c>
      <c r="M38" t="s">
        <v>146</v>
      </c>
      <c r="Q38" t="s">
        <v>28</v>
      </c>
      <c r="R38">
        <v>2.4</v>
      </c>
      <c r="S38" t="s">
        <v>29</v>
      </c>
      <c r="T38">
        <v>120</v>
      </c>
    </row>
    <row r="39" spans="1:29">
      <c r="A39" t="s">
        <v>15</v>
      </c>
      <c r="B39">
        <v>1</v>
      </c>
      <c r="C39">
        <v>37</v>
      </c>
      <c r="D39" s="3" t="s">
        <v>155</v>
      </c>
      <c r="E39" t="s">
        <v>156</v>
      </c>
      <c r="F39" t="s">
        <v>39</v>
      </c>
      <c r="G39" t="s">
        <v>19</v>
      </c>
      <c r="H39" t="s">
        <v>20</v>
      </c>
      <c r="I39">
        <v>10</v>
      </c>
      <c r="J39" t="s">
        <v>157</v>
      </c>
      <c r="K39" t="s">
        <v>22</v>
      </c>
      <c r="L39" t="s">
        <v>42</v>
      </c>
      <c r="M39" t="s">
        <v>24</v>
      </c>
      <c r="N39" t="s">
        <v>43</v>
      </c>
      <c r="O39" t="s">
        <v>26</v>
      </c>
      <c r="P39" t="s">
        <v>27</v>
      </c>
      <c r="Q39" t="s">
        <v>28</v>
      </c>
      <c r="R39">
        <v>1</v>
      </c>
      <c r="S39" t="s">
        <v>29</v>
      </c>
      <c r="T39">
        <v>100</v>
      </c>
      <c r="U39" t="s">
        <v>30</v>
      </c>
      <c r="V39">
        <v>4.9325513008385835E-4</v>
      </c>
      <c r="W39" t="s">
        <v>29</v>
      </c>
      <c r="X39">
        <v>0.90000000000000036</v>
      </c>
      <c r="Y39" t="s">
        <v>31</v>
      </c>
      <c r="Z39">
        <v>1E-3</v>
      </c>
      <c r="AA39" t="s">
        <v>29</v>
      </c>
      <c r="AB39">
        <v>0.9</v>
      </c>
    </row>
    <row r="40" spans="1:29">
      <c r="A40" t="s">
        <v>15</v>
      </c>
      <c r="B40">
        <v>2</v>
      </c>
      <c r="C40">
        <v>38</v>
      </c>
      <c r="D40" s="3" t="s">
        <v>158</v>
      </c>
      <c r="E40" t="s">
        <v>159</v>
      </c>
      <c r="F40" t="s">
        <v>39</v>
      </c>
      <c r="G40" t="s">
        <v>19</v>
      </c>
      <c r="H40" t="s">
        <v>20</v>
      </c>
      <c r="I40">
        <v>1</v>
      </c>
      <c r="J40" t="s">
        <v>160</v>
      </c>
      <c r="K40" t="s">
        <v>22</v>
      </c>
      <c r="L40" t="s">
        <v>23</v>
      </c>
      <c r="M40" t="s">
        <v>24</v>
      </c>
      <c r="N40" t="s">
        <v>25</v>
      </c>
      <c r="O40" t="s">
        <v>26</v>
      </c>
      <c r="P40" t="s">
        <v>27</v>
      </c>
      <c r="Q40" t="s">
        <v>28</v>
      </c>
      <c r="R40">
        <v>0.1</v>
      </c>
      <c r="S40" t="s">
        <v>29</v>
      </c>
      <c r="T40">
        <v>10</v>
      </c>
      <c r="U40" t="s">
        <v>30</v>
      </c>
      <c r="V40">
        <v>4.9325513008380284E-4</v>
      </c>
      <c r="W40" t="s">
        <v>29</v>
      </c>
      <c r="X40">
        <v>0.89999999999999925</v>
      </c>
      <c r="Y40" t="s">
        <v>31</v>
      </c>
      <c r="Z40">
        <v>1E-3</v>
      </c>
      <c r="AA40" t="s">
        <v>29</v>
      </c>
      <c r="AB40">
        <v>0.9</v>
      </c>
    </row>
    <row r="41" spans="1:29">
      <c r="A41" t="s">
        <v>15</v>
      </c>
      <c r="B41">
        <v>3</v>
      </c>
      <c r="C41">
        <v>39</v>
      </c>
      <c r="D41" s="3" t="s">
        <v>161</v>
      </c>
      <c r="E41" t="s">
        <v>159</v>
      </c>
      <c r="F41" t="s">
        <v>39</v>
      </c>
      <c r="G41" t="s">
        <v>19</v>
      </c>
      <c r="H41" t="s">
        <v>20</v>
      </c>
      <c r="I41">
        <v>0.1</v>
      </c>
      <c r="J41" t="s">
        <v>162</v>
      </c>
      <c r="K41" t="s">
        <v>22</v>
      </c>
      <c r="L41" t="s">
        <v>23</v>
      </c>
      <c r="M41" t="s">
        <v>24</v>
      </c>
      <c r="N41" t="s">
        <v>25</v>
      </c>
      <c r="O41" t="s">
        <v>26</v>
      </c>
      <c r="P41" t="s">
        <v>27</v>
      </c>
      <c r="Q41" t="s">
        <v>28</v>
      </c>
      <c r="R41">
        <v>0.1</v>
      </c>
      <c r="S41" t="s">
        <v>29</v>
      </c>
      <c r="T41">
        <v>10</v>
      </c>
      <c r="U41" t="s">
        <v>30</v>
      </c>
      <c r="V41">
        <v>4.9325513008380284E-4</v>
      </c>
      <c r="W41" t="s">
        <v>29</v>
      </c>
      <c r="X41">
        <v>0.89999999999999925</v>
      </c>
      <c r="Y41" t="s">
        <v>31</v>
      </c>
      <c r="Z41">
        <v>1E-3</v>
      </c>
      <c r="AA41" t="s">
        <v>29</v>
      </c>
      <c r="AB41">
        <v>0.9</v>
      </c>
    </row>
    <row r="42" spans="1:29" s="6" customFormat="1">
      <c r="A42" s="6" t="s">
        <v>15</v>
      </c>
      <c r="B42" s="6">
        <v>4</v>
      </c>
      <c r="C42" s="6">
        <v>40</v>
      </c>
      <c r="D42" s="7" t="s">
        <v>163</v>
      </c>
      <c r="E42" s="6" t="s">
        <v>164</v>
      </c>
      <c r="F42" s="6" t="s">
        <v>39</v>
      </c>
      <c r="G42" s="6" t="s">
        <v>19</v>
      </c>
      <c r="H42" s="6" t="s">
        <v>20</v>
      </c>
      <c r="I42" s="6">
        <v>5</v>
      </c>
      <c r="J42" s="6" t="s">
        <v>165</v>
      </c>
      <c r="K42" s="6" t="s">
        <v>22</v>
      </c>
      <c r="L42" s="6" t="s">
        <v>113</v>
      </c>
      <c r="M42" s="6" t="s">
        <v>24</v>
      </c>
      <c r="N42" s="6" t="s">
        <v>89</v>
      </c>
      <c r="O42" s="6" t="s">
        <v>26</v>
      </c>
      <c r="P42" s="6" t="s">
        <v>27</v>
      </c>
      <c r="Q42" s="6" t="s">
        <v>28</v>
      </c>
      <c r="R42" s="6">
        <v>0</v>
      </c>
      <c r="S42" s="6" t="s">
        <v>29</v>
      </c>
      <c r="T42" s="6">
        <v>50</v>
      </c>
      <c r="U42" s="6" t="s">
        <v>30</v>
      </c>
      <c r="V42" s="6">
        <v>4.9325513008380284E-4</v>
      </c>
      <c r="W42" s="6" t="s">
        <v>29</v>
      </c>
      <c r="X42" s="6">
        <v>0.64471297441995434</v>
      </c>
      <c r="Y42" s="6" t="s">
        <v>31</v>
      </c>
      <c r="Z42" s="6">
        <v>1E-3</v>
      </c>
      <c r="AA42" s="6" t="s">
        <v>29</v>
      </c>
      <c r="AB42" s="6">
        <v>0.64500000000000002</v>
      </c>
    </row>
    <row r="43" spans="1:29" s="6" customFormat="1">
      <c r="A43" s="6" t="s">
        <v>15</v>
      </c>
      <c r="B43" s="6">
        <v>5</v>
      </c>
      <c r="C43" s="6">
        <v>41</v>
      </c>
      <c r="D43" s="7" t="s">
        <v>166</v>
      </c>
      <c r="E43" s="6" t="s">
        <v>164</v>
      </c>
      <c r="F43" s="6" t="s">
        <v>39</v>
      </c>
      <c r="G43" s="6" t="s">
        <v>19</v>
      </c>
      <c r="H43" s="6" t="s">
        <v>20</v>
      </c>
      <c r="I43" s="6">
        <v>20</v>
      </c>
      <c r="J43" s="6" t="s">
        <v>167</v>
      </c>
      <c r="K43" s="6" t="s">
        <v>22</v>
      </c>
      <c r="L43" s="6" t="s">
        <v>168</v>
      </c>
      <c r="M43" s="6" t="s">
        <v>24</v>
      </c>
      <c r="N43" s="6" t="s">
        <v>169</v>
      </c>
      <c r="O43" s="6" t="s">
        <v>26</v>
      </c>
      <c r="P43" s="6" t="s">
        <v>27</v>
      </c>
      <c r="Q43" s="6" t="s">
        <v>28</v>
      </c>
      <c r="R43" s="6">
        <v>5</v>
      </c>
      <c r="S43" s="6" t="s">
        <v>29</v>
      </c>
      <c r="T43" s="6">
        <v>50</v>
      </c>
      <c r="U43" s="6" t="s">
        <v>30</v>
      </c>
      <c r="V43" s="6">
        <v>4.9325513008380284E-4</v>
      </c>
      <c r="W43" s="6" t="s">
        <v>29</v>
      </c>
      <c r="X43" s="6">
        <v>0.89999999999999925</v>
      </c>
      <c r="Y43" s="6" t="s">
        <v>31</v>
      </c>
      <c r="Z43" s="6">
        <v>1E-3</v>
      </c>
      <c r="AA43" s="6" t="s">
        <v>29</v>
      </c>
      <c r="AB43" s="6">
        <v>0.9</v>
      </c>
    </row>
    <row r="44" spans="1:29" s="2" customFormat="1">
      <c r="A44" t="s">
        <v>74</v>
      </c>
      <c r="B44">
        <v>0</v>
      </c>
      <c r="C44">
        <v>42</v>
      </c>
      <c r="D44" s="3" t="s">
        <v>170</v>
      </c>
      <c r="E44" t="s">
        <v>171</v>
      </c>
      <c r="F44" t="s">
        <v>20</v>
      </c>
      <c r="G44" t="s">
        <v>19</v>
      </c>
      <c r="H44" t="s">
        <v>20</v>
      </c>
      <c r="I44">
        <v>7.07</v>
      </c>
      <c r="J44" t="s">
        <v>172</v>
      </c>
      <c r="K44" t="s">
        <v>22</v>
      </c>
      <c r="L44" t="s">
        <v>173</v>
      </c>
      <c r="M44" t="s">
        <v>24</v>
      </c>
      <c r="N44" t="s">
        <v>174</v>
      </c>
      <c r="O44" t="s">
        <v>26</v>
      </c>
      <c r="P44" t="s">
        <v>27</v>
      </c>
      <c r="Q44" t="s">
        <v>28</v>
      </c>
      <c r="R44">
        <f>MAX(I44-AC44,0)</f>
        <v>0</v>
      </c>
      <c r="S44" t="s">
        <v>29</v>
      </c>
      <c r="T44">
        <f>I44+AC44</f>
        <v>129.97</v>
      </c>
      <c r="U44" t="s">
        <v>30</v>
      </c>
      <c r="V44">
        <v>4.9325513008385835E-4</v>
      </c>
      <c r="W44" t="s">
        <v>29</v>
      </c>
      <c r="X44">
        <v>0.9000000000000008</v>
      </c>
      <c r="Y44" t="s">
        <v>31</v>
      </c>
      <c r="Z44">
        <v>1E-3</v>
      </c>
      <c r="AA44" t="s">
        <v>29</v>
      </c>
      <c r="AB44">
        <v>0.9</v>
      </c>
      <c r="AC44">
        <v>122.9</v>
      </c>
    </row>
    <row r="45" spans="1:29" s="2" customFormat="1">
      <c r="A45" t="s">
        <v>74</v>
      </c>
      <c r="B45">
        <v>1</v>
      </c>
      <c r="C45">
        <v>43</v>
      </c>
      <c r="D45" s="3" t="s">
        <v>175</v>
      </c>
      <c r="E45" t="s">
        <v>171</v>
      </c>
      <c r="F45" t="s">
        <v>20</v>
      </c>
      <c r="G45" t="s">
        <v>19</v>
      </c>
      <c r="H45" t="s">
        <v>20</v>
      </c>
      <c r="I45">
        <v>1.94</v>
      </c>
      <c r="J45" t="s">
        <v>176</v>
      </c>
      <c r="K45" t="s">
        <v>22</v>
      </c>
      <c r="L45" t="s">
        <v>177</v>
      </c>
      <c r="M45" t="s">
        <v>24</v>
      </c>
      <c r="N45" t="s">
        <v>178</v>
      </c>
      <c r="O45" t="s">
        <v>26</v>
      </c>
      <c r="P45" t="s">
        <v>27</v>
      </c>
      <c r="Q45" t="s">
        <v>28</v>
      </c>
      <c r="R45">
        <f t="shared" ref="R45:R49" si="0">MAX(I45-AC45,0)</f>
        <v>0</v>
      </c>
      <c r="S45" t="s">
        <v>29</v>
      </c>
      <c r="T45">
        <f t="shared" ref="T45:T49" si="1">I45+AC45</f>
        <v>121.94</v>
      </c>
      <c r="U45" t="s">
        <v>30</v>
      </c>
      <c r="V45">
        <v>4.9325513008385835E-4</v>
      </c>
      <c r="W45" t="s">
        <v>29</v>
      </c>
      <c r="X45">
        <v>0.89999999999999991</v>
      </c>
      <c r="Y45" t="s">
        <v>31</v>
      </c>
      <c r="Z45">
        <v>1E-3</v>
      </c>
      <c r="AA45" t="s">
        <v>29</v>
      </c>
      <c r="AB45">
        <v>0.9</v>
      </c>
      <c r="AC45">
        <v>120</v>
      </c>
    </row>
    <row r="46" spans="1:29" s="2" customFormat="1">
      <c r="A46" t="s">
        <v>74</v>
      </c>
      <c r="B46">
        <v>2</v>
      </c>
      <c r="C46">
        <v>44</v>
      </c>
      <c r="D46" s="3" t="s">
        <v>179</v>
      </c>
      <c r="E46" t="s">
        <v>171</v>
      </c>
      <c r="F46" t="s">
        <v>20</v>
      </c>
      <c r="G46" t="s">
        <v>19</v>
      </c>
      <c r="H46" t="s">
        <v>20</v>
      </c>
      <c r="I46">
        <v>7.36</v>
      </c>
      <c r="J46" t="s">
        <v>180</v>
      </c>
      <c r="K46" t="s">
        <v>22</v>
      </c>
      <c r="L46" t="s">
        <v>181</v>
      </c>
      <c r="M46" t="s">
        <v>24</v>
      </c>
      <c r="N46" t="s">
        <v>182</v>
      </c>
      <c r="O46" t="s">
        <v>26</v>
      </c>
      <c r="P46" t="s">
        <v>27</v>
      </c>
      <c r="Q46" t="s">
        <v>28</v>
      </c>
      <c r="R46">
        <f t="shared" si="0"/>
        <v>0</v>
      </c>
      <c r="S46" t="s">
        <v>29</v>
      </c>
      <c r="T46">
        <f t="shared" si="1"/>
        <v>88.429999999999993</v>
      </c>
      <c r="U46" t="s">
        <v>30</v>
      </c>
      <c r="V46">
        <v>4.9325513008380284E-4</v>
      </c>
      <c r="W46" t="s">
        <v>29</v>
      </c>
      <c r="X46">
        <v>0.89999999999999991</v>
      </c>
      <c r="Y46" t="s">
        <v>31</v>
      </c>
      <c r="Z46">
        <v>1E-3</v>
      </c>
      <c r="AA46" t="s">
        <v>29</v>
      </c>
      <c r="AB46">
        <v>0.9</v>
      </c>
      <c r="AC46">
        <v>81.069999999999993</v>
      </c>
    </row>
    <row r="47" spans="1:29" s="2" customFormat="1">
      <c r="A47" t="s">
        <v>74</v>
      </c>
      <c r="B47">
        <v>3</v>
      </c>
      <c r="C47">
        <v>45</v>
      </c>
      <c r="D47" s="3" t="s">
        <v>183</v>
      </c>
      <c r="E47" t="s">
        <v>171</v>
      </c>
      <c r="F47" t="s">
        <v>20</v>
      </c>
      <c r="G47" t="s">
        <v>19</v>
      </c>
      <c r="H47" t="s">
        <v>20</v>
      </c>
      <c r="I47">
        <v>3321</v>
      </c>
      <c r="J47" t="s">
        <v>184</v>
      </c>
      <c r="K47" t="s">
        <v>22</v>
      </c>
      <c r="L47" t="s">
        <v>185</v>
      </c>
      <c r="M47" t="s">
        <v>24</v>
      </c>
      <c r="N47" t="s">
        <v>186</v>
      </c>
      <c r="O47" t="s">
        <v>26</v>
      </c>
      <c r="P47" t="s">
        <v>27</v>
      </c>
      <c r="Q47" t="s">
        <v>28</v>
      </c>
      <c r="R47">
        <f t="shared" si="0"/>
        <v>1420</v>
      </c>
      <c r="S47" t="s">
        <v>29</v>
      </c>
      <c r="T47">
        <f t="shared" si="1"/>
        <v>5222</v>
      </c>
      <c r="U47" t="s">
        <v>30</v>
      </c>
      <c r="V47">
        <v>4.9325513008385835E-4</v>
      </c>
      <c r="W47" t="s">
        <v>29</v>
      </c>
      <c r="X47">
        <v>0.89999999999999991</v>
      </c>
      <c r="Y47" t="s">
        <v>31</v>
      </c>
      <c r="Z47">
        <v>1E-3</v>
      </c>
      <c r="AA47" t="s">
        <v>29</v>
      </c>
      <c r="AB47">
        <v>0.9</v>
      </c>
      <c r="AC47">
        <v>1901</v>
      </c>
    </row>
    <row r="48" spans="1:29" s="2" customFormat="1">
      <c r="A48" t="s">
        <v>74</v>
      </c>
      <c r="B48">
        <v>4</v>
      </c>
      <c r="C48">
        <v>46</v>
      </c>
      <c r="D48" s="3" t="s">
        <v>187</v>
      </c>
      <c r="E48" t="s">
        <v>171</v>
      </c>
      <c r="F48" t="s">
        <v>20</v>
      </c>
      <c r="G48" t="s">
        <v>19</v>
      </c>
      <c r="H48" t="s">
        <v>20</v>
      </c>
      <c r="I48">
        <v>700</v>
      </c>
      <c r="J48" t="s">
        <v>188</v>
      </c>
      <c r="K48" t="s">
        <v>22</v>
      </c>
      <c r="L48" t="s">
        <v>189</v>
      </c>
      <c r="M48" t="s">
        <v>24</v>
      </c>
      <c r="N48" t="s">
        <v>190</v>
      </c>
      <c r="O48" t="s">
        <v>26</v>
      </c>
      <c r="P48" t="s">
        <v>27</v>
      </c>
      <c r="Q48" t="s">
        <v>28</v>
      </c>
      <c r="R48">
        <f t="shared" si="0"/>
        <v>0</v>
      </c>
      <c r="S48" t="s">
        <v>29</v>
      </c>
      <c r="T48">
        <f t="shared" si="1"/>
        <v>2006</v>
      </c>
      <c r="U48" t="s">
        <v>30</v>
      </c>
      <c r="V48">
        <v>4.9325513008385835E-4</v>
      </c>
      <c r="W48" t="s">
        <v>29</v>
      </c>
      <c r="X48">
        <v>0.9</v>
      </c>
      <c r="Y48" t="s">
        <v>31</v>
      </c>
      <c r="Z48">
        <v>1E-3</v>
      </c>
      <c r="AA48" t="s">
        <v>29</v>
      </c>
      <c r="AB48">
        <v>0.9</v>
      </c>
      <c r="AC48">
        <v>1306</v>
      </c>
    </row>
    <row r="49" spans="1:29" s="2" customFormat="1">
      <c r="A49" t="s">
        <v>74</v>
      </c>
      <c r="B49">
        <v>5</v>
      </c>
      <c r="C49">
        <v>47</v>
      </c>
      <c r="D49" s="3" t="s">
        <v>191</v>
      </c>
      <c r="E49" t="s">
        <v>171</v>
      </c>
      <c r="F49" t="s">
        <v>20</v>
      </c>
      <c r="G49" t="s">
        <v>19</v>
      </c>
      <c r="H49" t="s">
        <v>20</v>
      </c>
      <c r="I49">
        <v>2068</v>
      </c>
      <c r="J49" t="s">
        <v>192</v>
      </c>
      <c r="K49" t="s">
        <v>22</v>
      </c>
      <c r="L49" t="s">
        <v>193</v>
      </c>
      <c r="M49" t="s">
        <v>24</v>
      </c>
      <c r="N49" t="s">
        <v>194</v>
      </c>
      <c r="O49" t="s">
        <v>26</v>
      </c>
      <c r="P49" t="s">
        <v>27</v>
      </c>
      <c r="Q49" t="s">
        <v>28</v>
      </c>
      <c r="R49">
        <f t="shared" si="0"/>
        <v>0</v>
      </c>
      <c r="S49" t="s">
        <v>29</v>
      </c>
      <c r="T49">
        <f t="shared" si="1"/>
        <v>9639</v>
      </c>
      <c r="U49" t="s">
        <v>30</v>
      </c>
      <c r="V49">
        <v>4.9325513008380284E-4</v>
      </c>
      <c r="W49" t="s">
        <v>29</v>
      </c>
      <c r="X49">
        <v>0.89999999999999947</v>
      </c>
      <c r="Y49" t="s">
        <v>31</v>
      </c>
      <c r="Z49">
        <v>1E-3</v>
      </c>
      <c r="AA49" t="s">
        <v>29</v>
      </c>
      <c r="AB49">
        <v>0.9</v>
      </c>
      <c r="AC49">
        <v>7571</v>
      </c>
    </row>
    <row r="50" spans="1:29">
      <c r="A50" t="s">
        <v>74</v>
      </c>
      <c r="B50">
        <v>0</v>
      </c>
      <c r="C50">
        <v>48</v>
      </c>
      <c r="D50" s="3" t="s">
        <v>195</v>
      </c>
      <c r="E50" t="s">
        <v>196</v>
      </c>
      <c r="F50" t="s">
        <v>20</v>
      </c>
      <c r="G50" t="s">
        <v>19</v>
      </c>
      <c r="H50" t="s">
        <v>20</v>
      </c>
      <c r="I50">
        <v>2.2999999999999998</v>
      </c>
      <c r="J50" t="s">
        <v>197</v>
      </c>
      <c r="K50" t="s">
        <v>22</v>
      </c>
      <c r="L50" t="s">
        <v>198</v>
      </c>
      <c r="M50" t="s">
        <v>24</v>
      </c>
      <c r="N50" t="s">
        <v>199</v>
      </c>
      <c r="O50" t="s">
        <v>26</v>
      </c>
      <c r="P50" t="s">
        <v>27</v>
      </c>
      <c r="Q50" t="s">
        <v>28</v>
      </c>
      <c r="R50">
        <v>0.22999999999999998</v>
      </c>
      <c r="S50" t="s">
        <v>29</v>
      </c>
      <c r="T50">
        <v>23</v>
      </c>
      <c r="U50" t="s">
        <v>30</v>
      </c>
      <c r="V50">
        <v>4.9325513008385835E-4</v>
      </c>
      <c r="W50" t="s">
        <v>29</v>
      </c>
      <c r="X50">
        <v>0.89999999999999991</v>
      </c>
      <c r="Y50" t="s">
        <v>31</v>
      </c>
      <c r="Z50">
        <v>1E-3</v>
      </c>
      <c r="AA50" t="s">
        <v>29</v>
      </c>
      <c r="AB50">
        <v>0.9</v>
      </c>
    </row>
    <row r="51" spans="1:29">
      <c r="A51" t="s">
        <v>74</v>
      </c>
      <c r="B51">
        <v>1</v>
      </c>
      <c r="C51">
        <v>49</v>
      </c>
      <c r="D51" s="3" t="s">
        <v>200</v>
      </c>
      <c r="E51" t="s">
        <v>196</v>
      </c>
      <c r="F51" t="s">
        <v>20</v>
      </c>
      <c r="G51" t="s">
        <v>19</v>
      </c>
      <c r="H51" t="s">
        <v>20</v>
      </c>
      <c r="I51">
        <v>10.1</v>
      </c>
      <c r="J51" t="s">
        <v>201</v>
      </c>
      <c r="K51" t="s">
        <v>22</v>
      </c>
      <c r="L51" t="s">
        <v>202</v>
      </c>
      <c r="M51" t="s">
        <v>24</v>
      </c>
      <c r="N51" t="s">
        <v>203</v>
      </c>
      <c r="O51" t="s">
        <v>26</v>
      </c>
      <c r="P51" t="s">
        <v>27</v>
      </c>
      <c r="Q51" t="s">
        <v>28</v>
      </c>
      <c r="R51">
        <v>1.01</v>
      </c>
      <c r="S51" t="s">
        <v>29</v>
      </c>
      <c r="T51">
        <v>101</v>
      </c>
      <c r="U51" t="s">
        <v>30</v>
      </c>
      <c r="V51">
        <v>4.9325513008380284E-4</v>
      </c>
      <c r="W51" t="s">
        <v>29</v>
      </c>
      <c r="X51">
        <v>0.89999999999999991</v>
      </c>
      <c r="Y51" t="s">
        <v>31</v>
      </c>
      <c r="Z51">
        <v>1E-3</v>
      </c>
      <c r="AA51" t="s">
        <v>29</v>
      </c>
      <c r="AB51">
        <v>0.9</v>
      </c>
    </row>
    <row r="52" spans="1:29">
      <c r="A52" t="s">
        <v>74</v>
      </c>
      <c r="B52">
        <v>0</v>
      </c>
      <c r="C52">
        <v>50</v>
      </c>
      <c r="D52" s="3" t="s">
        <v>204</v>
      </c>
      <c r="E52" t="s">
        <v>205</v>
      </c>
      <c r="F52" t="s">
        <v>20</v>
      </c>
      <c r="G52" t="s">
        <v>19</v>
      </c>
      <c r="H52" t="s">
        <v>20</v>
      </c>
      <c r="I52">
        <v>0.4</v>
      </c>
      <c r="J52" t="s">
        <v>206</v>
      </c>
      <c r="K52" t="s">
        <v>22</v>
      </c>
      <c r="L52" t="s">
        <v>207</v>
      </c>
      <c r="M52" t="s">
        <v>24</v>
      </c>
      <c r="N52" t="s">
        <v>208</v>
      </c>
      <c r="O52" t="s">
        <v>26</v>
      </c>
      <c r="P52" t="s">
        <v>27</v>
      </c>
      <c r="Q52" t="s">
        <v>28</v>
      </c>
      <c r="R52">
        <v>0.04</v>
      </c>
      <c r="S52" t="s">
        <v>29</v>
      </c>
      <c r="T52">
        <v>4</v>
      </c>
      <c r="U52" t="s">
        <v>30</v>
      </c>
      <c r="V52">
        <v>4.9325513008385835E-4</v>
      </c>
      <c r="W52" t="s">
        <v>29</v>
      </c>
      <c r="X52">
        <v>0.9</v>
      </c>
      <c r="Y52" t="s">
        <v>31</v>
      </c>
      <c r="Z52">
        <v>1E-3</v>
      </c>
      <c r="AA52" t="s">
        <v>29</v>
      </c>
      <c r="AB52">
        <v>0.9</v>
      </c>
    </row>
    <row r="53" spans="1:29">
      <c r="A53" t="s">
        <v>74</v>
      </c>
      <c r="B53">
        <v>1</v>
      </c>
      <c r="C53">
        <v>51</v>
      </c>
      <c r="D53" s="3" t="s">
        <v>209</v>
      </c>
      <c r="E53" t="s">
        <v>205</v>
      </c>
      <c r="F53" t="s">
        <v>20</v>
      </c>
      <c r="G53" t="s">
        <v>19</v>
      </c>
      <c r="H53" t="s">
        <v>20</v>
      </c>
      <c r="I53">
        <v>0.4</v>
      </c>
      <c r="J53" t="s">
        <v>210</v>
      </c>
      <c r="K53" t="s">
        <v>22</v>
      </c>
      <c r="L53" t="s">
        <v>207</v>
      </c>
      <c r="M53" t="s">
        <v>24</v>
      </c>
      <c r="N53" t="s">
        <v>208</v>
      </c>
      <c r="O53" t="s">
        <v>26</v>
      </c>
      <c r="P53" t="s">
        <v>27</v>
      </c>
      <c r="Q53" t="s">
        <v>28</v>
      </c>
      <c r="R53">
        <v>0.04</v>
      </c>
      <c r="S53" t="s">
        <v>29</v>
      </c>
      <c r="T53">
        <v>4</v>
      </c>
      <c r="U53" t="s">
        <v>30</v>
      </c>
      <c r="V53">
        <v>4.9325513008385835E-4</v>
      </c>
      <c r="W53" t="s">
        <v>29</v>
      </c>
      <c r="X53">
        <v>0.9</v>
      </c>
      <c r="Y53" t="s">
        <v>31</v>
      </c>
      <c r="Z53">
        <v>1E-3</v>
      </c>
      <c r="AA53" t="s">
        <v>29</v>
      </c>
      <c r="AB53">
        <v>0.9</v>
      </c>
    </row>
    <row r="54" spans="1:29">
      <c r="A54" t="s">
        <v>74</v>
      </c>
      <c r="B54">
        <v>2</v>
      </c>
      <c r="C54">
        <v>52</v>
      </c>
      <c r="D54" s="3" t="s">
        <v>211</v>
      </c>
      <c r="E54" t="s">
        <v>205</v>
      </c>
      <c r="F54" t="s">
        <v>20</v>
      </c>
      <c r="G54" t="s">
        <v>19</v>
      </c>
      <c r="H54" t="s">
        <v>20</v>
      </c>
      <c r="I54">
        <v>3</v>
      </c>
      <c r="J54" t="s">
        <v>212</v>
      </c>
      <c r="K54" t="s">
        <v>22</v>
      </c>
      <c r="L54" t="s">
        <v>168</v>
      </c>
      <c r="M54" t="s">
        <v>24</v>
      </c>
      <c r="N54" t="s">
        <v>169</v>
      </c>
      <c r="O54" t="s">
        <v>26</v>
      </c>
      <c r="P54" t="s">
        <v>27</v>
      </c>
      <c r="Q54" t="s">
        <v>28</v>
      </c>
      <c r="R54">
        <v>0.3</v>
      </c>
      <c r="S54" t="s">
        <v>29</v>
      </c>
      <c r="T54">
        <v>30</v>
      </c>
      <c r="U54" t="s">
        <v>30</v>
      </c>
      <c r="V54">
        <v>4.9325513008380284E-4</v>
      </c>
      <c r="W54" t="s">
        <v>29</v>
      </c>
      <c r="X54">
        <v>0.89999999999999925</v>
      </c>
      <c r="Y54" t="s">
        <v>31</v>
      </c>
      <c r="Z54">
        <v>1E-3</v>
      </c>
      <c r="AA54" t="s">
        <v>29</v>
      </c>
      <c r="AB54">
        <v>0.9</v>
      </c>
    </row>
    <row r="55" spans="1:29">
      <c r="A55" t="s">
        <v>74</v>
      </c>
      <c r="B55">
        <v>3</v>
      </c>
      <c r="C55">
        <v>53</v>
      </c>
      <c r="D55" s="3" t="s">
        <v>213</v>
      </c>
      <c r="E55" t="s">
        <v>205</v>
      </c>
      <c r="F55" t="s">
        <v>20</v>
      </c>
      <c r="G55" t="s">
        <v>19</v>
      </c>
      <c r="H55" t="s">
        <v>20</v>
      </c>
      <c r="I55">
        <v>7.9</v>
      </c>
      <c r="J55" t="s">
        <v>214</v>
      </c>
      <c r="K55" t="s">
        <v>22</v>
      </c>
      <c r="L55" t="s">
        <v>215</v>
      </c>
      <c r="M55" t="s">
        <v>24</v>
      </c>
      <c r="N55" t="s">
        <v>216</v>
      </c>
      <c r="O55" t="s">
        <v>26</v>
      </c>
      <c r="P55" t="s">
        <v>27</v>
      </c>
      <c r="Q55" t="s">
        <v>28</v>
      </c>
      <c r="R55">
        <v>0.79</v>
      </c>
      <c r="S55" t="s">
        <v>29</v>
      </c>
      <c r="T55">
        <v>79</v>
      </c>
      <c r="U55" t="s">
        <v>30</v>
      </c>
      <c r="V55">
        <v>4.9325513008385835E-4</v>
      </c>
      <c r="W55" t="s">
        <v>29</v>
      </c>
      <c r="X55">
        <v>0.90000000000000024</v>
      </c>
      <c r="Y55" t="s">
        <v>31</v>
      </c>
      <c r="Z55">
        <v>1E-3</v>
      </c>
      <c r="AA55" t="s">
        <v>29</v>
      </c>
      <c r="AB55">
        <v>0.9</v>
      </c>
    </row>
    <row r="56" spans="1:29">
      <c r="A56" t="s">
        <v>74</v>
      </c>
      <c r="B56">
        <v>4</v>
      </c>
      <c r="C56">
        <v>54</v>
      </c>
      <c r="D56" s="3" t="s">
        <v>217</v>
      </c>
      <c r="E56" t="s">
        <v>205</v>
      </c>
      <c r="F56" t="s">
        <v>20</v>
      </c>
      <c r="G56" t="s">
        <v>19</v>
      </c>
      <c r="H56" t="s">
        <v>20</v>
      </c>
      <c r="I56">
        <v>1400</v>
      </c>
      <c r="J56" t="s">
        <v>218</v>
      </c>
      <c r="K56" t="s">
        <v>22</v>
      </c>
      <c r="L56" t="s">
        <v>219</v>
      </c>
      <c r="M56" t="s">
        <v>24</v>
      </c>
      <c r="N56" t="s">
        <v>220</v>
      </c>
      <c r="O56" t="s">
        <v>26</v>
      </c>
      <c r="P56" t="s">
        <v>27</v>
      </c>
      <c r="Q56" t="s">
        <v>28</v>
      </c>
      <c r="R56">
        <v>140</v>
      </c>
      <c r="S56" t="s">
        <v>29</v>
      </c>
      <c r="T56">
        <v>14000</v>
      </c>
      <c r="U56" t="s">
        <v>30</v>
      </c>
      <c r="V56">
        <v>4.9325513008380284E-4</v>
      </c>
      <c r="W56" t="s">
        <v>29</v>
      </c>
      <c r="X56">
        <v>0.89999999999999913</v>
      </c>
      <c r="Y56" t="s">
        <v>31</v>
      </c>
      <c r="Z56">
        <v>1E-3</v>
      </c>
      <c r="AA56" t="s">
        <v>29</v>
      </c>
      <c r="AB56">
        <v>0.9</v>
      </c>
    </row>
    <row r="57" spans="1:29">
      <c r="A57" t="s">
        <v>74</v>
      </c>
      <c r="B57">
        <v>0</v>
      </c>
      <c r="C57">
        <v>55</v>
      </c>
      <c r="D57" s="3" t="s">
        <v>221</v>
      </c>
      <c r="E57" t="s">
        <v>222</v>
      </c>
      <c r="F57" t="s">
        <v>20</v>
      </c>
      <c r="G57" t="s">
        <v>19</v>
      </c>
      <c r="H57" t="s">
        <v>20</v>
      </c>
      <c r="I57">
        <v>7.8</v>
      </c>
      <c r="J57" t="s">
        <v>223</v>
      </c>
      <c r="K57" t="s">
        <v>22</v>
      </c>
      <c r="L57" t="s">
        <v>224</v>
      </c>
      <c r="M57" t="s">
        <v>24</v>
      </c>
      <c r="N57" t="s">
        <v>225</v>
      </c>
      <c r="O57" t="s">
        <v>26</v>
      </c>
      <c r="P57" t="s">
        <v>27</v>
      </c>
      <c r="Q57" t="s">
        <v>28</v>
      </c>
      <c r="R57">
        <v>0.78</v>
      </c>
      <c r="S57" t="s">
        <v>29</v>
      </c>
      <c r="T57">
        <v>78</v>
      </c>
      <c r="U57" t="s">
        <v>30</v>
      </c>
      <c r="V57">
        <v>4.9325513008385835E-4</v>
      </c>
      <c r="W57" t="s">
        <v>29</v>
      </c>
      <c r="X57">
        <v>0.90000000000000036</v>
      </c>
      <c r="Y57" t="s">
        <v>31</v>
      </c>
      <c r="Z57">
        <v>1E-3</v>
      </c>
      <c r="AA57" t="s">
        <v>29</v>
      </c>
      <c r="AB57">
        <v>0.9</v>
      </c>
    </row>
    <row r="58" spans="1:29">
      <c r="A58" t="s">
        <v>74</v>
      </c>
      <c r="B58">
        <v>1</v>
      </c>
      <c r="C58">
        <v>56</v>
      </c>
      <c r="D58" s="3" t="s">
        <v>226</v>
      </c>
      <c r="E58" t="s">
        <v>222</v>
      </c>
      <c r="F58" t="s">
        <v>20</v>
      </c>
      <c r="G58" t="s">
        <v>19</v>
      </c>
      <c r="H58" t="s">
        <v>20</v>
      </c>
      <c r="I58">
        <v>0.3</v>
      </c>
      <c r="J58" t="s">
        <v>227</v>
      </c>
      <c r="K58" t="s">
        <v>22</v>
      </c>
      <c r="L58" t="s">
        <v>228</v>
      </c>
      <c r="M58" t="s">
        <v>24</v>
      </c>
      <c r="N58" t="s">
        <v>229</v>
      </c>
      <c r="O58" t="s">
        <v>26</v>
      </c>
      <c r="P58" t="s">
        <v>27</v>
      </c>
      <c r="Q58" t="s">
        <v>28</v>
      </c>
      <c r="R58">
        <v>0.03</v>
      </c>
      <c r="S58" t="s">
        <v>29</v>
      </c>
      <c r="T58">
        <v>3</v>
      </c>
      <c r="U58" t="s">
        <v>30</v>
      </c>
      <c r="V58">
        <v>4.9325513008385835E-4</v>
      </c>
      <c r="W58" t="s">
        <v>29</v>
      </c>
      <c r="X58">
        <v>0.89999999999999991</v>
      </c>
      <c r="Y58" t="s">
        <v>31</v>
      </c>
      <c r="Z58">
        <v>1E-3</v>
      </c>
      <c r="AA58" t="s">
        <v>29</v>
      </c>
      <c r="AB58">
        <v>0.9</v>
      </c>
    </row>
    <row r="59" spans="1:29">
      <c r="A59" t="s">
        <v>74</v>
      </c>
      <c r="B59">
        <v>2</v>
      </c>
      <c r="C59">
        <v>57</v>
      </c>
      <c r="D59" s="3" t="s">
        <v>230</v>
      </c>
      <c r="E59" t="s">
        <v>222</v>
      </c>
      <c r="F59" t="s">
        <v>20</v>
      </c>
      <c r="G59" t="s">
        <v>19</v>
      </c>
      <c r="H59" t="s">
        <v>20</v>
      </c>
      <c r="I59">
        <v>66</v>
      </c>
      <c r="J59" t="s">
        <v>231</v>
      </c>
      <c r="K59" t="s">
        <v>22</v>
      </c>
      <c r="L59" t="s">
        <v>232</v>
      </c>
      <c r="M59" t="s">
        <v>24</v>
      </c>
      <c r="N59" t="s">
        <v>233</v>
      </c>
      <c r="O59" t="s">
        <v>26</v>
      </c>
      <c r="P59" t="s">
        <v>27</v>
      </c>
      <c r="Q59" t="s">
        <v>28</v>
      </c>
      <c r="R59">
        <v>6.6</v>
      </c>
      <c r="S59" t="s">
        <v>29</v>
      </c>
      <c r="T59">
        <v>660</v>
      </c>
      <c r="U59" t="s">
        <v>30</v>
      </c>
      <c r="V59">
        <v>4.9325513008385835E-4</v>
      </c>
      <c r="W59" t="s">
        <v>29</v>
      </c>
      <c r="X59">
        <v>0.90000000000000024</v>
      </c>
      <c r="Y59" t="s">
        <v>31</v>
      </c>
      <c r="Z59">
        <v>1E-3</v>
      </c>
      <c r="AA59" t="s">
        <v>29</v>
      </c>
      <c r="AB59">
        <v>0.9</v>
      </c>
    </row>
    <row r="60" spans="1:29">
      <c r="A60" t="s">
        <v>74</v>
      </c>
      <c r="B60">
        <v>3</v>
      </c>
      <c r="C60">
        <v>58</v>
      </c>
      <c r="D60" s="3" t="s">
        <v>234</v>
      </c>
      <c r="E60" t="s">
        <v>222</v>
      </c>
      <c r="F60" t="s">
        <v>20</v>
      </c>
      <c r="G60" t="s">
        <v>19</v>
      </c>
      <c r="H60" t="s">
        <v>20</v>
      </c>
      <c r="I60">
        <v>5.3</v>
      </c>
      <c r="J60" t="s">
        <v>235</v>
      </c>
      <c r="K60" t="s">
        <v>22</v>
      </c>
      <c r="L60" t="s">
        <v>236</v>
      </c>
      <c r="M60" t="s">
        <v>24</v>
      </c>
      <c r="N60" t="s">
        <v>237</v>
      </c>
      <c r="O60" t="s">
        <v>26</v>
      </c>
      <c r="P60" t="s">
        <v>27</v>
      </c>
      <c r="Q60" t="s">
        <v>28</v>
      </c>
      <c r="R60">
        <v>0.53</v>
      </c>
      <c r="S60" t="s">
        <v>29</v>
      </c>
      <c r="T60">
        <v>53</v>
      </c>
      <c r="U60" t="s">
        <v>30</v>
      </c>
      <c r="V60">
        <v>4.9325513008385835E-4</v>
      </c>
      <c r="W60" t="s">
        <v>29</v>
      </c>
      <c r="X60">
        <v>0.90000000000000036</v>
      </c>
      <c r="Y60" t="s">
        <v>31</v>
      </c>
      <c r="Z60">
        <v>1E-3</v>
      </c>
      <c r="AA60" t="s">
        <v>29</v>
      </c>
      <c r="AB60">
        <v>0.9</v>
      </c>
    </row>
    <row r="61" spans="1:29">
      <c r="A61" t="s">
        <v>74</v>
      </c>
      <c r="B61">
        <v>0</v>
      </c>
      <c r="C61">
        <v>59</v>
      </c>
      <c r="D61" s="3" t="s">
        <v>238</v>
      </c>
      <c r="E61" t="s">
        <v>205</v>
      </c>
      <c r="F61" t="s">
        <v>20</v>
      </c>
      <c r="G61" t="s">
        <v>19</v>
      </c>
      <c r="H61" t="s">
        <v>20</v>
      </c>
      <c r="I61">
        <v>345.2</v>
      </c>
      <c r="J61" t="s">
        <v>239</v>
      </c>
      <c r="K61" t="s">
        <v>22</v>
      </c>
      <c r="L61" t="s">
        <v>23</v>
      </c>
      <c r="M61" t="s">
        <v>24</v>
      </c>
      <c r="N61" t="s">
        <v>25</v>
      </c>
      <c r="O61" t="s">
        <v>26</v>
      </c>
      <c r="P61" t="s">
        <v>27</v>
      </c>
      <c r="Q61" t="s">
        <v>28</v>
      </c>
      <c r="R61">
        <v>34.5</v>
      </c>
      <c r="S61" t="s">
        <v>29</v>
      </c>
      <c r="T61">
        <v>3452</v>
      </c>
      <c r="U61" t="s">
        <v>30</v>
      </c>
      <c r="V61">
        <v>4.9325513008380284E-4</v>
      </c>
      <c r="W61" t="s">
        <v>29</v>
      </c>
      <c r="X61">
        <v>0.89999999999999925</v>
      </c>
      <c r="Y61" t="s">
        <v>31</v>
      </c>
      <c r="Z61">
        <v>1E-3</v>
      </c>
      <c r="AA61" t="s">
        <v>29</v>
      </c>
      <c r="AB61">
        <v>0.9</v>
      </c>
    </row>
    <row r="62" spans="1:29">
      <c r="A62" t="s">
        <v>74</v>
      </c>
      <c r="B62">
        <v>1</v>
      </c>
      <c r="C62">
        <v>60</v>
      </c>
      <c r="D62" s="3" t="s">
        <v>240</v>
      </c>
      <c r="E62" t="s">
        <v>205</v>
      </c>
      <c r="F62" t="s">
        <v>20</v>
      </c>
      <c r="G62" t="s">
        <v>19</v>
      </c>
      <c r="H62" t="s">
        <v>20</v>
      </c>
      <c r="I62">
        <v>309.89999999999998</v>
      </c>
      <c r="J62" t="s">
        <v>241</v>
      </c>
      <c r="K62" t="s">
        <v>22</v>
      </c>
      <c r="L62" t="s">
        <v>242</v>
      </c>
      <c r="M62" t="s">
        <v>24</v>
      </c>
      <c r="N62" t="s">
        <v>243</v>
      </c>
      <c r="O62" t="s">
        <v>26</v>
      </c>
      <c r="P62" t="s">
        <v>27</v>
      </c>
      <c r="Q62" t="s">
        <v>28</v>
      </c>
      <c r="R62">
        <v>30.99</v>
      </c>
      <c r="S62" t="s">
        <v>29</v>
      </c>
      <c r="T62">
        <v>3099</v>
      </c>
      <c r="U62" t="s">
        <v>30</v>
      </c>
      <c r="V62">
        <v>4.9325513008380284E-4</v>
      </c>
      <c r="W62" t="s">
        <v>29</v>
      </c>
      <c r="X62">
        <v>0.8999999999999998</v>
      </c>
      <c r="Y62" t="s">
        <v>31</v>
      </c>
      <c r="Z62">
        <v>1E-3</v>
      </c>
      <c r="AA62" t="s">
        <v>29</v>
      </c>
      <c r="AB62">
        <v>0.9</v>
      </c>
    </row>
    <row r="63" spans="1:29">
      <c r="A63" t="s">
        <v>74</v>
      </c>
      <c r="B63">
        <v>2</v>
      </c>
      <c r="C63">
        <v>61</v>
      </c>
      <c r="D63" s="3" t="s">
        <v>244</v>
      </c>
      <c r="E63" t="s">
        <v>205</v>
      </c>
      <c r="F63" t="s">
        <v>20</v>
      </c>
      <c r="G63" t="s">
        <v>19</v>
      </c>
      <c r="H63" t="s">
        <v>20</v>
      </c>
      <c r="I63">
        <v>138.1</v>
      </c>
      <c r="J63" t="s">
        <v>245</v>
      </c>
      <c r="K63" t="s">
        <v>22</v>
      </c>
      <c r="L63" t="s">
        <v>246</v>
      </c>
      <c r="M63" t="s">
        <v>24</v>
      </c>
      <c r="N63" t="s">
        <v>247</v>
      </c>
      <c r="O63" t="s">
        <v>26</v>
      </c>
      <c r="P63" t="s">
        <v>27</v>
      </c>
      <c r="Q63" t="s">
        <v>28</v>
      </c>
      <c r="R63">
        <v>13.809999999999999</v>
      </c>
      <c r="S63" t="s">
        <v>29</v>
      </c>
      <c r="T63">
        <v>1381</v>
      </c>
      <c r="U63" t="s">
        <v>30</v>
      </c>
      <c r="V63">
        <v>4.9325513008385835E-4</v>
      </c>
      <c r="W63" t="s">
        <v>29</v>
      </c>
      <c r="X63">
        <v>0.90000000000000036</v>
      </c>
      <c r="Y63" t="s">
        <v>31</v>
      </c>
      <c r="Z63">
        <v>1E-3</v>
      </c>
      <c r="AA63" t="s">
        <v>29</v>
      </c>
      <c r="AB63">
        <v>0.9</v>
      </c>
    </row>
    <row r="64" spans="1:29" s="2" customFormat="1">
      <c r="A64" t="s">
        <v>248</v>
      </c>
      <c r="B64">
        <v>0</v>
      </c>
      <c r="C64">
        <v>62</v>
      </c>
      <c r="D64" s="3" t="s">
        <v>249</v>
      </c>
      <c r="E64" t="s">
        <v>250</v>
      </c>
      <c r="F64" t="s">
        <v>20</v>
      </c>
      <c r="G64" t="s">
        <v>19</v>
      </c>
      <c r="H64" t="s">
        <v>20</v>
      </c>
      <c r="I64">
        <v>8922</v>
      </c>
      <c r="J64" t="s">
        <v>251</v>
      </c>
      <c r="K64" t="s">
        <v>22</v>
      </c>
      <c r="L64" t="s">
        <v>252</v>
      </c>
      <c r="M64" t="s">
        <v>24</v>
      </c>
      <c r="N64" t="s">
        <v>253</v>
      </c>
      <c r="O64" t="s">
        <v>26</v>
      </c>
      <c r="P64" t="s">
        <v>27</v>
      </c>
      <c r="Q64" t="s">
        <v>28</v>
      </c>
      <c r="R64" s="5">
        <f>MAX(I64-AC64,0)</f>
        <v>0</v>
      </c>
      <c r="S64" t="s">
        <v>29</v>
      </c>
      <c r="T64">
        <f>I64+AC64</f>
        <v>104008922</v>
      </c>
      <c r="U64" t="s">
        <v>30</v>
      </c>
      <c r="V64">
        <v>4.9325513008380284E-4</v>
      </c>
      <c r="W64" t="s">
        <v>29</v>
      </c>
      <c r="X64">
        <v>0.89999999999999969</v>
      </c>
      <c r="Y64" t="s">
        <v>31</v>
      </c>
      <c r="Z64">
        <v>1E-3</v>
      </c>
      <c r="AA64" t="s">
        <v>29</v>
      </c>
      <c r="AB64">
        <v>0.9</v>
      </c>
      <c r="AC64" s="5">
        <v>104000000</v>
      </c>
    </row>
    <row r="65" spans="1:29" s="2" customFormat="1">
      <c r="A65" t="s">
        <v>248</v>
      </c>
      <c r="B65">
        <v>1</v>
      </c>
      <c r="C65">
        <v>63</v>
      </c>
      <c r="D65" s="3" t="s">
        <v>254</v>
      </c>
      <c r="E65" t="s">
        <v>250</v>
      </c>
      <c r="F65" t="s">
        <v>20</v>
      </c>
      <c r="G65" t="s">
        <v>19</v>
      </c>
      <c r="H65" t="s">
        <v>20</v>
      </c>
      <c r="I65">
        <v>25.54</v>
      </c>
      <c r="J65" t="s">
        <v>255</v>
      </c>
      <c r="K65" t="s">
        <v>22</v>
      </c>
      <c r="L65" t="s">
        <v>256</v>
      </c>
      <c r="M65" t="s">
        <v>24</v>
      </c>
      <c r="N65" t="s">
        <v>257</v>
      </c>
      <c r="O65" t="s">
        <v>26</v>
      </c>
      <c r="P65" t="s">
        <v>27</v>
      </c>
      <c r="Q65" t="s">
        <v>28</v>
      </c>
      <c r="R65" s="5">
        <f t="shared" ref="R65:R70" si="2">MAX(I65-AC65,0)</f>
        <v>0</v>
      </c>
      <c r="S65" t="s">
        <v>29</v>
      </c>
      <c r="T65">
        <v>2600223</v>
      </c>
      <c r="U65" t="s">
        <v>30</v>
      </c>
      <c r="V65">
        <v>4.9325513008380284E-4</v>
      </c>
      <c r="W65" t="s">
        <v>29</v>
      </c>
      <c r="X65">
        <v>0.89999999999999925</v>
      </c>
      <c r="Y65" t="s">
        <v>31</v>
      </c>
      <c r="Z65">
        <v>1E-3</v>
      </c>
      <c r="AA65" t="s">
        <v>29</v>
      </c>
      <c r="AB65">
        <v>0.9</v>
      </c>
      <c r="AC65" s="5">
        <v>72000000000</v>
      </c>
    </row>
    <row r="66" spans="1:29" s="2" customFormat="1">
      <c r="A66" t="s">
        <v>248</v>
      </c>
      <c r="B66">
        <v>2</v>
      </c>
      <c r="C66">
        <v>64</v>
      </c>
      <c r="D66" s="3" t="s">
        <v>258</v>
      </c>
      <c r="E66" t="s">
        <v>250</v>
      </c>
      <c r="F66" t="s">
        <v>20</v>
      </c>
      <c r="G66" t="s">
        <v>19</v>
      </c>
      <c r="H66" t="s">
        <v>20</v>
      </c>
      <c r="I66">
        <v>2.4289999999999999E-2</v>
      </c>
      <c r="J66" t="s">
        <v>259</v>
      </c>
      <c r="K66" t="s">
        <v>22</v>
      </c>
      <c r="L66" t="s">
        <v>260</v>
      </c>
      <c r="M66" t="s">
        <v>24</v>
      </c>
      <c r="N66" t="s">
        <v>261</v>
      </c>
      <c r="O66" t="s">
        <v>26</v>
      </c>
      <c r="P66" t="s">
        <v>27</v>
      </c>
      <c r="Q66" t="s">
        <v>28</v>
      </c>
      <c r="R66" s="5">
        <f t="shared" si="2"/>
        <v>1.7399999999999999E-2</v>
      </c>
      <c r="S66" t="s">
        <v>29</v>
      </c>
      <c r="T66">
        <f t="shared" ref="T66:T69" si="3">I66+AC66</f>
        <v>3.1179999999999999E-2</v>
      </c>
      <c r="U66" t="s">
        <v>30</v>
      </c>
      <c r="V66">
        <v>4.9325513008380284E-4</v>
      </c>
      <c r="W66" t="s">
        <v>29</v>
      </c>
      <c r="X66">
        <v>0.89999999999999947</v>
      </c>
      <c r="Y66" t="s">
        <v>31</v>
      </c>
      <c r="Z66">
        <v>1E-3</v>
      </c>
      <c r="AA66" t="s">
        <v>29</v>
      </c>
      <c r="AB66">
        <v>0.9</v>
      </c>
      <c r="AC66" s="5">
        <v>6.8900000000000003E-3</v>
      </c>
    </row>
    <row r="67" spans="1:29" s="2" customFormat="1">
      <c r="A67" t="s">
        <v>248</v>
      </c>
      <c r="B67">
        <v>0</v>
      </c>
      <c r="C67">
        <v>65</v>
      </c>
      <c r="D67" s="3" t="s">
        <v>262</v>
      </c>
      <c r="E67" t="s">
        <v>263</v>
      </c>
      <c r="F67" t="s">
        <v>20</v>
      </c>
      <c r="G67" t="s">
        <v>19</v>
      </c>
      <c r="H67" t="s">
        <v>20</v>
      </c>
      <c r="I67">
        <v>183.4</v>
      </c>
      <c r="J67" t="s">
        <v>264</v>
      </c>
      <c r="K67" t="s">
        <v>22</v>
      </c>
      <c r="L67" t="s">
        <v>265</v>
      </c>
      <c r="M67" t="s">
        <v>24</v>
      </c>
      <c r="N67" t="s">
        <v>266</v>
      </c>
      <c r="O67" t="s">
        <v>26</v>
      </c>
      <c r="P67" t="s">
        <v>27</v>
      </c>
      <c r="Q67" t="s">
        <v>28</v>
      </c>
      <c r="R67" s="5">
        <f t="shared" si="2"/>
        <v>0</v>
      </c>
      <c r="S67" t="s">
        <v>29</v>
      </c>
      <c r="T67">
        <f t="shared" si="3"/>
        <v>158183.4</v>
      </c>
      <c r="U67" t="s">
        <v>30</v>
      </c>
      <c r="V67">
        <v>4.9325513008385835E-4</v>
      </c>
      <c r="W67" t="s">
        <v>29</v>
      </c>
      <c r="X67">
        <v>0.90000000000000036</v>
      </c>
      <c r="Y67" t="s">
        <v>31</v>
      </c>
      <c r="Z67">
        <v>1E-3</v>
      </c>
      <c r="AA67" t="s">
        <v>29</v>
      </c>
      <c r="AB67">
        <v>0.9</v>
      </c>
      <c r="AC67" s="5">
        <v>158000</v>
      </c>
    </row>
    <row r="68" spans="1:29" s="2" customFormat="1">
      <c r="A68" t="s">
        <v>248</v>
      </c>
      <c r="B68">
        <v>1</v>
      </c>
      <c r="C68">
        <v>66</v>
      </c>
      <c r="D68" s="3" t="s">
        <v>267</v>
      </c>
      <c r="E68" t="s">
        <v>263</v>
      </c>
      <c r="F68" t="s">
        <v>20</v>
      </c>
      <c r="G68" t="s">
        <v>19</v>
      </c>
      <c r="H68" t="s">
        <v>20</v>
      </c>
      <c r="I68">
        <v>0.47020000000000001</v>
      </c>
      <c r="J68" t="s">
        <v>268</v>
      </c>
      <c r="K68" t="s">
        <v>22</v>
      </c>
      <c r="L68" t="s">
        <v>269</v>
      </c>
      <c r="M68" t="s">
        <v>24</v>
      </c>
      <c r="N68" t="s">
        <v>270</v>
      </c>
      <c r="O68" t="s">
        <v>26</v>
      </c>
      <c r="P68" t="s">
        <v>27</v>
      </c>
      <c r="Q68" t="s">
        <v>28</v>
      </c>
      <c r="R68" s="5">
        <f t="shared" si="2"/>
        <v>0</v>
      </c>
      <c r="S68" t="s">
        <v>29</v>
      </c>
      <c r="T68">
        <v>3954</v>
      </c>
      <c r="U68" t="s">
        <v>30</v>
      </c>
      <c r="V68">
        <v>4.9325513008385835E-4</v>
      </c>
      <c r="W68" t="s">
        <v>29</v>
      </c>
      <c r="X68">
        <v>0.90000000000000069</v>
      </c>
      <c r="Y68" t="s">
        <v>31</v>
      </c>
      <c r="Z68">
        <v>1E-3</v>
      </c>
      <c r="AA68" t="s">
        <v>29</v>
      </c>
      <c r="AB68">
        <v>0.9</v>
      </c>
      <c r="AC68" s="5">
        <v>109000000</v>
      </c>
    </row>
    <row r="69" spans="1:29" s="2" customFormat="1">
      <c r="A69" t="s">
        <v>248</v>
      </c>
      <c r="B69">
        <v>0</v>
      </c>
      <c r="C69">
        <v>67</v>
      </c>
      <c r="D69" s="3" t="s">
        <v>271</v>
      </c>
      <c r="E69" t="s">
        <v>272</v>
      </c>
      <c r="F69" t="s">
        <v>20</v>
      </c>
      <c r="G69" t="s">
        <v>19</v>
      </c>
      <c r="H69" t="s">
        <v>20</v>
      </c>
      <c r="I69">
        <v>16.68</v>
      </c>
      <c r="J69" t="s">
        <v>273</v>
      </c>
      <c r="K69" t="s">
        <v>22</v>
      </c>
      <c r="L69" t="s">
        <v>189</v>
      </c>
      <c r="M69" t="s">
        <v>24</v>
      </c>
      <c r="N69" t="s">
        <v>190</v>
      </c>
      <c r="O69" t="s">
        <v>26</v>
      </c>
      <c r="P69" t="s">
        <v>27</v>
      </c>
      <c r="Q69" t="s">
        <v>28</v>
      </c>
      <c r="R69" s="5">
        <f t="shared" si="2"/>
        <v>0</v>
      </c>
      <c r="S69" t="s">
        <v>29</v>
      </c>
      <c r="T69">
        <f t="shared" si="3"/>
        <v>63116.68</v>
      </c>
      <c r="U69" t="s">
        <v>30</v>
      </c>
      <c r="V69">
        <v>4.9325513008385835E-4</v>
      </c>
      <c r="W69" t="s">
        <v>29</v>
      </c>
      <c r="X69">
        <v>0.9</v>
      </c>
      <c r="Y69" t="s">
        <v>31</v>
      </c>
      <c r="Z69">
        <v>1E-3</v>
      </c>
      <c r="AA69" t="s">
        <v>29</v>
      </c>
      <c r="AB69">
        <v>0.9</v>
      </c>
      <c r="AC69" s="5">
        <v>63100</v>
      </c>
    </row>
    <row r="70" spans="1:29" s="2" customFormat="1">
      <c r="A70" t="s">
        <v>248</v>
      </c>
      <c r="B70">
        <v>1</v>
      </c>
      <c r="C70">
        <v>68</v>
      </c>
      <c r="D70" s="3" t="s">
        <v>274</v>
      </c>
      <c r="E70" t="s">
        <v>272</v>
      </c>
      <c r="F70" t="s">
        <v>20</v>
      </c>
      <c r="G70" t="s">
        <v>19</v>
      </c>
      <c r="H70" t="s">
        <v>20</v>
      </c>
      <c r="I70">
        <v>9.9419999999999994E-2</v>
      </c>
      <c r="J70" t="s">
        <v>275</v>
      </c>
      <c r="K70" t="s">
        <v>22</v>
      </c>
      <c r="L70" t="s">
        <v>60</v>
      </c>
      <c r="M70" t="s">
        <v>24</v>
      </c>
      <c r="N70" t="s">
        <v>61</v>
      </c>
      <c r="O70" t="s">
        <v>26</v>
      </c>
      <c r="P70" t="s">
        <v>27</v>
      </c>
      <c r="Q70" t="s">
        <v>28</v>
      </c>
      <c r="R70" s="5">
        <f t="shared" si="2"/>
        <v>0</v>
      </c>
      <c r="S70" t="s">
        <v>29</v>
      </c>
      <c r="T70">
        <v>1577</v>
      </c>
      <c r="U70" t="s">
        <v>30</v>
      </c>
      <c r="V70">
        <v>4.9325513008385835E-4</v>
      </c>
      <c r="W70" t="s">
        <v>29</v>
      </c>
      <c r="X70">
        <v>0.9000000000000008</v>
      </c>
      <c r="Y70" t="s">
        <v>31</v>
      </c>
      <c r="Z70">
        <v>1E-3</v>
      </c>
      <c r="AA70" t="s">
        <v>29</v>
      </c>
      <c r="AB70">
        <v>0.9</v>
      </c>
      <c r="AC70" s="5">
        <v>43600000</v>
      </c>
    </row>
    <row r="71" spans="1:29">
      <c r="A71" t="s">
        <v>248</v>
      </c>
      <c r="B71">
        <v>0</v>
      </c>
      <c r="C71">
        <v>69</v>
      </c>
      <c r="D71" s="3" t="s">
        <v>276</v>
      </c>
      <c r="E71" t="s">
        <v>277</v>
      </c>
      <c r="F71" t="s">
        <v>20</v>
      </c>
      <c r="G71" t="s">
        <v>19</v>
      </c>
      <c r="H71" t="s">
        <v>20</v>
      </c>
      <c r="I71">
        <v>12</v>
      </c>
      <c r="J71" t="s">
        <v>278</v>
      </c>
      <c r="K71" t="s">
        <v>22</v>
      </c>
      <c r="L71" t="s">
        <v>279</v>
      </c>
      <c r="M71" t="s">
        <v>24</v>
      </c>
      <c r="N71" t="s">
        <v>280</v>
      </c>
      <c r="O71" t="s">
        <v>26</v>
      </c>
      <c r="P71" t="s">
        <v>27</v>
      </c>
      <c r="Q71" t="s">
        <v>28</v>
      </c>
      <c r="R71">
        <v>1.2</v>
      </c>
      <c r="S71" t="s">
        <v>29</v>
      </c>
      <c r="T71">
        <v>120</v>
      </c>
      <c r="U71" t="s">
        <v>30</v>
      </c>
      <c r="V71">
        <v>4.9325513008380284E-4</v>
      </c>
      <c r="W71" t="s">
        <v>29</v>
      </c>
      <c r="X71">
        <v>0.89999999999999925</v>
      </c>
      <c r="Y71" t="s">
        <v>31</v>
      </c>
      <c r="Z71">
        <v>1E-3</v>
      </c>
      <c r="AA71" t="s">
        <v>29</v>
      </c>
      <c r="AB71">
        <v>0.9</v>
      </c>
    </row>
    <row r="72" spans="1:29">
      <c r="A72" t="s">
        <v>248</v>
      </c>
      <c r="B72">
        <v>1</v>
      </c>
      <c r="C72">
        <v>70</v>
      </c>
      <c r="D72" s="3" t="s">
        <v>281</v>
      </c>
      <c r="E72" t="s">
        <v>277</v>
      </c>
      <c r="F72" t="s">
        <v>20</v>
      </c>
      <c r="G72" t="s">
        <v>19</v>
      </c>
      <c r="H72" t="s">
        <v>20</v>
      </c>
      <c r="I72">
        <v>11.8</v>
      </c>
      <c r="J72" t="s">
        <v>282</v>
      </c>
      <c r="K72" t="s">
        <v>22</v>
      </c>
      <c r="L72" t="s">
        <v>283</v>
      </c>
      <c r="M72" t="s">
        <v>24</v>
      </c>
      <c r="N72" t="s">
        <v>284</v>
      </c>
      <c r="O72" t="s">
        <v>26</v>
      </c>
      <c r="P72" t="s">
        <v>27</v>
      </c>
      <c r="Q72" t="s">
        <v>28</v>
      </c>
      <c r="R72">
        <v>1.1800000000000002</v>
      </c>
      <c r="S72" t="s">
        <v>29</v>
      </c>
      <c r="T72">
        <v>118</v>
      </c>
      <c r="U72" t="s">
        <v>30</v>
      </c>
      <c r="V72">
        <v>4.9325513008380284E-4</v>
      </c>
      <c r="W72" t="s">
        <v>29</v>
      </c>
      <c r="X72">
        <v>0.89999999999999913</v>
      </c>
      <c r="Y72" t="s">
        <v>31</v>
      </c>
      <c r="Z72">
        <v>1E-3</v>
      </c>
      <c r="AA72" t="s">
        <v>29</v>
      </c>
      <c r="AB72">
        <v>0.9</v>
      </c>
    </row>
    <row r="73" spans="1:29">
      <c r="A73" t="s">
        <v>248</v>
      </c>
      <c r="B73">
        <v>2</v>
      </c>
      <c r="C73">
        <v>71</v>
      </c>
      <c r="D73" s="3" t="s">
        <v>285</v>
      </c>
      <c r="E73" t="s">
        <v>277</v>
      </c>
      <c r="F73" t="s">
        <v>20</v>
      </c>
      <c r="G73" t="s">
        <v>19</v>
      </c>
      <c r="H73" t="s">
        <v>20</v>
      </c>
      <c r="I73">
        <v>21.5</v>
      </c>
      <c r="J73" t="s">
        <v>286</v>
      </c>
      <c r="K73" t="s">
        <v>22</v>
      </c>
      <c r="L73" t="s">
        <v>287</v>
      </c>
      <c r="M73" t="s">
        <v>24</v>
      </c>
      <c r="N73" t="s">
        <v>288</v>
      </c>
      <c r="O73" t="s">
        <v>26</v>
      </c>
      <c r="P73" t="s">
        <v>27</v>
      </c>
      <c r="Q73" t="s">
        <v>28</v>
      </c>
      <c r="R73">
        <v>2.15</v>
      </c>
      <c r="S73" t="s">
        <v>29</v>
      </c>
      <c r="T73">
        <v>215</v>
      </c>
      <c r="U73" t="s">
        <v>30</v>
      </c>
      <c r="V73">
        <v>4.9325513008385835E-4</v>
      </c>
      <c r="W73" t="s">
        <v>29</v>
      </c>
      <c r="X73">
        <v>0.90000000000000036</v>
      </c>
      <c r="Y73" t="s">
        <v>31</v>
      </c>
      <c r="Z73">
        <v>1E-3</v>
      </c>
      <c r="AA73" t="s">
        <v>29</v>
      </c>
      <c r="AB73">
        <v>0.9</v>
      </c>
    </row>
    <row r="74" spans="1:29">
      <c r="A74" t="s">
        <v>248</v>
      </c>
      <c r="B74">
        <v>3</v>
      </c>
      <c r="C74">
        <v>72</v>
      </c>
      <c r="D74" s="3" t="s">
        <v>289</v>
      </c>
      <c r="E74" t="s">
        <v>277</v>
      </c>
      <c r="F74" t="s">
        <v>20</v>
      </c>
      <c r="G74" t="s">
        <v>19</v>
      </c>
      <c r="H74" t="s">
        <v>20</v>
      </c>
      <c r="I74">
        <v>20</v>
      </c>
      <c r="J74" t="s">
        <v>290</v>
      </c>
      <c r="K74" t="s">
        <v>22</v>
      </c>
      <c r="L74" t="s">
        <v>291</v>
      </c>
      <c r="M74" t="s">
        <v>24</v>
      </c>
      <c r="N74" t="s">
        <v>292</v>
      </c>
      <c r="O74" t="s">
        <v>26</v>
      </c>
      <c r="P74" t="s">
        <v>27</v>
      </c>
      <c r="Q74" t="s">
        <v>28</v>
      </c>
      <c r="R74">
        <v>2</v>
      </c>
      <c r="S74" t="s">
        <v>29</v>
      </c>
      <c r="T74">
        <v>200</v>
      </c>
      <c r="U74" t="s">
        <v>30</v>
      </c>
      <c r="V74">
        <v>4.9325513008380284E-4</v>
      </c>
      <c r="W74" t="s">
        <v>29</v>
      </c>
      <c r="X74">
        <v>0.89999999999999925</v>
      </c>
      <c r="Y74" t="s">
        <v>31</v>
      </c>
      <c r="Z74">
        <v>1E-3</v>
      </c>
      <c r="AA74" t="s">
        <v>29</v>
      </c>
      <c r="AB74">
        <v>0.9</v>
      </c>
    </row>
    <row r="75" spans="1:29">
      <c r="A75" t="s">
        <v>248</v>
      </c>
      <c r="B75">
        <v>0</v>
      </c>
      <c r="C75">
        <v>73</v>
      </c>
      <c r="D75" s="3" t="s">
        <v>293</v>
      </c>
      <c r="E75" t="s">
        <v>294</v>
      </c>
      <c r="F75" t="s">
        <v>20</v>
      </c>
      <c r="G75" t="s">
        <v>19</v>
      </c>
      <c r="H75" t="s">
        <v>20</v>
      </c>
      <c r="I75">
        <v>0.75</v>
      </c>
      <c r="J75" t="s">
        <v>295</v>
      </c>
      <c r="K75" t="s">
        <v>22</v>
      </c>
      <c r="L75" t="s">
        <v>296</v>
      </c>
      <c r="M75" t="s">
        <v>24</v>
      </c>
      <c r="N75" t="s">
        <v>297</v>
      </c>
      <c r="O75" t="s">
        <v>26</v>
      </c>
      <c r="P75" t="s">
        <v>27</v>
      </c>
      <c r="Q75" t="s">
        <v>28</v>
      </c>
      <c r="R75">
        <v>7.4999999999999997E-2</v>
      </c>
      <c r="S75" t="s">
        <v>29</v>
      </c>
      <c r="T75">
        <v>7.5</v>
      </c>
      <c r="U75" t="s">
        <v>30</v>
      </c>
      <c r="V75">
        <v>4.9325513008385835E-4</v>
      </c>
      <c r="W75" t="s">
        <v>29</v>
      </c>
      <c r="X75">
        <v>0.89999999999999991</v>
      </c>
      <c r="Y75" t="s">
        <v>31</v>
      </c>
      <c r="Z75">
        <v>1E-3</v>
      </c>
      <c r="AA75" t="s">
        <v>29</v>
      </c>
      <c r="AB75">
        <v>0.9</v>
      </c>
    </row>
    <row r="76" spans="1:29">
      <c r="A76" t="s">
        <v>248</v>
      </c>
      <c r="B76">
        <v>1</v>
      </c>
      <c r="C76">
        <v>74</v>
      </c>
      <c r="D76" s="3" t="s">
        <v>298</v>
      </c>
      <c r="E76" t="s">
        <v>294</v>
      </c>
      <c r="F76" t="s">
        <v>20</v>
      </c>
      <c r="G76" t="s">
        <v>19</v>
      </c>
      <c r="H76" t="s">
        <v>20</v>
      </c>
      <c r="I76">
        <v>61.75</v>
      </c>
      <c r="J76" t="s">
        <v>299</v>
      </c>
      <c r="K76" t="s">
        <v>22</v>
      </c>
      <c r="L76" t="s">
        <v>300</v>
      </c>
      <c r="M76" t="s">
        <v>24</v>
      </c>
      <c r="N76" t="s">
        <v>301</v>
      </c>
      <c r="O76" t="s">
        <v>26</v>
      </c>
      <c r="P76" t="s">
        <v>27</v>
      </c>
      <c r="Q76" t="s">
        <v>28</v>
      </c>
      <c r="R76">
        <v>6.1749999999999998</v>
      </c>
      <c r="S76" t="s">
        <v>29</v>
      </c>
      <c r="T76">
        <v>617.5</v>
      </c>
      <c r="U76" t="s">
        <v>30</v>
      </c>
      <c r="V76">
        <v>4.9325513008385835E-4</v>
      </c>
      <c r="W76" t="s">
        <v>29</v>
      </c>
      <c r="X76">
        <v>0.90000000000000036</v>
      </c>
      <c r="Y76" t="s">
        <v>31</v>
      </c>
      <c r="Z76">
        <v>1E-3</v>
      </c>
      <c r="AA76" t="s">
        <v>29</v>
      </c>
      <c r="AB76">
        <v>0.9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DD2A5-4BD1-474B-A1B4-42CCCEF6CE4F}">
  <dimension ref="A1:BW1"/>
  <sheetViews>
    <sheetView workbookViewId="0">
      <selection sqref="A1:BW1"/>
    </sheetView>
  </sheetViews>
  <sheetFormatPr defaultColWidth="11.5546875" defaultRowHeight="15.95"/>
  <sheetData>
    <row r="1" spans="1:75">
      <c r="A1">
        <v>1</v>
      </c>
      <c r="B1">
        <v>2</v>
      </c>
      <c r="C1">
        <v>10</v>
      </c>
      <c r="D1">
        <v>0.5</v>
      </c>
      <c r="E1">
        <v>1</v>
      </c>
      <c r="F1">
        <v>5</v>
      </c>
      <c r="G1">
        <v>0.01</v>
      </c>
      <c r="H1">
        <v>1</v>
      </c>
      <c r="I1">
        <v>1</v>
      </c>
      <c r="J1">
        <v>1</v>
      </c>
      <c r="K1">
        <v>1</v>
      </c>
      <c r="L1">
        <v>10</v>
      </c>
      <c r="M1">
        <v>500</v>
      </c>
      <c r="N1">
        <v>0.5</v>
      </c>
      <c r="O1">
        <v>25</v>
      </c>
      <c r="P1">
        <v>0.2</v>
      </c>
      <c r="Q1">
        <v>0.2</v>
      </c>
      <c r="R1">
        <v>1</v>
      </c>
      <c r="S1">
        <v>0</v>
      </c>
      <c r="T1">
        <v>0.01</v>
      </c>
      <c r="U1">
        <v>50</v>
      </c>
      <c r="V1">
        <v>25</v>
      </c>
      <c r="W1">
        <v>2</v>
      </c>
      <c r="X1">
        <v>10</v>
      </c>
      <c r="Y1">
        <v>5</v>
      </c>
      <c r="Z1">
        <v>1</v>
      </c>
      <c r="AA1">
        <v>0</v>
      </c>
      <c r="AB1">
        <v>25</v>
      </c>
      <c r="AC1">
        <v>2</v>
      </c>
      <c r="AD1">
        <v>1</v>
      </c>
      <c r="AE1">
        <v>0</v>
      </c>
      <c r="AF1">
        <v>50</v>
      </c>
      <c r="AG1">
        <v>5</v>
      </c>
      <c r="AH1">
        <v>10</v>
      </c>
      <c r="AI1">
        <v>12</v>
      </c>
      <c r="AJ1">
        <v>1</v>
      </c>
      <c r="AK1">
        <v>24</v>
      </c>
      <c r="AL1">
        <v>10</v>
      </c>
      <c r="AM1">
        <v>1</v>
      </c>
      <c r="AN1">
        <v>0</v>
      </c>
      <c r="AO1">
        <v>25</v>
      </c>
      <c r="AP1">
        <v>3</v>
      </c>
      <c r="AQ1">
        <v>7.07</v>
      </c>
      <c r="AR1">
        <v>1.94</v>
      </c>
      <c r="AS1">
        <v>7.36</v>
      </c>
      <c r="AT1">
        <v>3321</v>
      </c>
      <c r="AU1">
        <v>700</v>
      </c>
      <c r="AV1">
        <v>2068</v>
      </c>
      <c r="AW1">
        <v>2.2999999999999998</v>
      </c>
      <c r="AX1">
        <v>10.1</v>
      </c>
      <c r="AY1">
        <v>0.4</v>
      </c>
      <c r="AZ1">
        <v>0.4</v>
      </c>
      <c r="BA1">
        <v>3</v>
      </c>
      <c r="BB1">
        <v>7.9</v>
      </c>
      <c r="BC1">
        <v>1400</v>
      </c>
      <c r="BD1">
        <v>7.8</v>
      </c>
      <c r="BE1">
        <v>0.3</v>
      </c>
      <c r="BF1">
        <v>66</v>
      </c>
      <c r="BG1">
        <v>5.3</v>
      </c>
      <c r="BH1">
        <v>345.2</v>
      </c>
      <c r="BI1">
        <v>309.89999999999998</v>
      </c>
      <c r="BJ1">
        <v>138.1</v>
      </c>
      <c r="BK1">
        <v>8922</v>
      </c>
      <c r="BL1">
        <v>25.54</v>
      </c>
      <c r="BM1">
        <v>2.4289999999999999E-2</v>
      </c>
      <c r="BN1">
        <v>183.4</v>
      </c>
      <c r="BO1">
        <v>0.47020000000000001</v>
      </c>
      <c r="BP1">
        <v>16.68</v>
      </c>
      <c r="BQ1">
        <v>9.9419999999999994E-2</v>
      </c>
      <c r="BR1">
        <v>12</v>
      </c>
      <c r="BS1">
        <v>11.8</v>
      </c>
      <c r="BT1">
        <v>21.5</v>
      </c>
      <c r="BU1">
        <v>20</v>
      </c>
      <c r="BV1">
        <v>0.75</v>
      </c>
      <c r="BW1">
        <v>61.75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Meghana Munipalle</cp:lastModifiedBy>
  <cp:revision>141</cp:revision>
  <dcterms:created xsi:type="dcterms:W3CDTF">2015-07-22T14:48:19Z</dcterms:created>
  <dcterms:modified xsi:type="dcterms:W3CDTF">2025-01-28T17:36:56Z</dcterms:modified>
  <cp:category/>
  <cp:contentStatus/>
</cp:coreProperties>
</file>